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Deniz\Downloads\"/>
    </mc:Choice>
  </mc:AlternateContent>
  <xr:revisionPtr revIDLastSave="0" documentId="13_ncr:1_{510429DA-94F9-487F-984F-704E778AF942}" xr6:coauthVersionLast="47" xr6:coauthVersionMax="47" xr10:uidLastSave="{00000000-0000-0000-0000-000000000000}"/>
  <bookViews>
    <workbookView xWindow="-108" yWindow="-108" windowWidth="23256" windowHeight="12456" xr2:uid="{489DB278-F7DE-4051-A72E-D890927E77AF}"/>
  </bookViews>
  <sheets>
    <sheet name="Problem" sheetId="5" r:id="rId1"/>
    <sheet name="Solve" sheetId="4"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 i="5" l="1"/>
  <c r="B36" i="5"/>
  <c r="B25" i="5"/>
  <c r="B15" i="5"/>
  <c r="J2" i="4"/>
  <c r="N2" i="4"/>
  <c r="V2" i="4" l="1"/>
  <c r="AF2" i="4" s="1"/>
  <c r="AE3" i="4"/>
  <c r="AE4" i="4"/>
  <c r="AE5" i="4"/>
  <c r="AE6" i="4"/>
  <c r="AE7" i="4"/>
  <c r="AE8" i="4"/>
  <c r="AE9" i="4"/>
  <c r="AE10" i="4"/>
  <c r="AE11" i="4"/>
  <c r="AE12" i="4"/>
  <c r="AE13" i="4"/>
  <c r="AE14" i="4"/>
  <c r="AE15" i="4"/>
  <c r="AE16" i="4"/>
  <c r="AE17" i="4"/>
  <c r="AE18" i="4"/>
  <c r="AE19" i="4"/>
  <c r="AE20" i="4"/>
  <c r="AE21" i="4"/>
  <c r="AE22" i="4"/>
  <c r="AE23" i="4"/>
  <c r="AE24" i="4"/>
  <c r="AE25" i="4"/>
  <c r="AE26" i="4"/>
  <c r="AE27" i="4"/>
  <c r="AE28" i="4"/>
  <c r="AE29" i="4"/>
  <c r="AE30" i="4"/>
  <c r="AE31" i="4"/>
  <c r="AE32" i="4"/>
  <c r="AE33" i="4"/>
  <c r="AE34" i="4"/>
  <c r="AE35" i="4"/>
  <c r="AE36" i="4"/>
  <c r="AE37" i="4"/>
  <c r="AE38" i="4"/>
  <c r="AE39" i="4"/>
  <c r="AE40" i="4"/>
  <c r="AE41" i="4"/>
  <c r="AE42" i="4"/>
  <c r="AE43" i="4"/>
  <c r="AE44" i="4"/>
  <c r="AE45" i="4"/>
  <c r="AE46" i="4"/>
  <c r="AE47" i="4"/>
  <c r="AE48" i="4"/>
  <c r="AE49" i="4"/>
  <c r="AE50" i="4"/>
  <c r="AE51" i="4"/>
  <c r="AE52" i="4"/>
  <c r="AE53" i="4"/>
  <c r="AE54" i="4"/>
  <c r="AE55" i="4"/>
  <c r="AE56" i="4"/>
  <c r="AE57" i="4"/>
  <c r="AE58" i="4"/>
  <c r="AE59" i="4"/>
  <c r="AE60" i="4"/>
  <c r="AE61" i="4"/>
  <c r="AE62" i="4"/>
  <c r="AE63" i="4"/>
  <c r="AE64" i="4"/>
  <c r="AE65" i="4"/>
  <c r="AE66" i="4"/>
  <c r="AE67" i="4"/>
  <c r="AE68" i="4"/>
  <c r="AE69" i="4"/>
  <c r="AE70" i="4"/>
  <c r="AE71" i="4"/>
  <c r="AE72" i="4"/>
  <c r="AE73" i="4"/>
  <c r="AE74" i="4"/>
  <c r="AE75" i="4"/>
  <c r="AE76" i="4"/>
  <c r="AE77" i="4"/>
  <c r="AE78" i="4"/>
  <c r="AE79" i="4"/>
  <c r="AE80" i="4"/>
  <c r="AE81" i="4"/>
  <c r="AE82" i="4"/>
  <c r="AE83" i="4"/>
  <c r="AE84" i="4"/>
  <c r="AE85" i="4"/>
  <c r="AE86" i="4"/>
  <c r="AE87" i="4"/>
  <c r="AE88" i="4"/>
  <c r="AE89" i="4"/>
  <c r="AE90" i="4"/>
  <c r="AE91" i="4"/>
  <c r="AE92" i="4"/>
  <c r="AE93" i="4"/>
  <c r="AE94" i="4"/>
  <c r="AE95" i="4"/>
  <c r="AE96" i="4"/>
  <c r="AE97" i="4"/>
  <c r="AE98" i="4"/>
  <c r="AE99" i="4"/>
  <c r="AE100" i="4"/>
  <c r="AE101" i="4"/>
  <c r="AE102" i="4"/>
  <c r="AE103" i="4"/>
  <c r="AE104" i="4"/>
  <c r="AE105" i="4"/>
  <c r="AE106" i="4"/>
  <c r="AE107" i="4"/>
  <c r="AE108" i="4"/>
  <c r="AE109" i="4"/>
  <c r="AE110" i="4"/>
  <c r="AE111" i="4"/>
  <c r="AE112" i="4"/>
  <c r="AE113" i="4"/>
  <c r="AE114" i="4"/>
  <c r="AE115" i="4"/>
  <c r="AE116" i="4"/>
  <c r="AE117" i="4"/>
  <c r="AE118" i="4"/>
  <c r="AE119" i="4"/>
  <c r="AE120" i="4"/>
  <c r="AE121" i="4"/>
  <c r="AE122" i="4"/>
  <c r="AE123" i="4"/>
  <c r="AE124" i="4"/>
  <c r="AE125" i="4"/>
  <c r="AE126" i="4"/>
  <c r="AE127" i="4"/>
  <c r="AE128" i="4"/>
  <c r="AE129" i="4"/>
  <c r="AE130" i="4"/>
  <c r="AE131" i="4"/>
  <c r="AE132" i="4"/>
  <c r="AE133" i="4"/>
  <c r="AE134" i="4"/>
  <c r="AE135" i="4"/>
  <c r="AE136" i="4"/>
  <c r="AE137" i="4"/>
  <c r="AE138" i="4"/>
  <c r="AE139" i="4"/>
  <c r="AE140" i="4"/>
  <c r="AE141" i="4"/>
  <c r="AE142" i="4"/>
  <c r="AE143" i="4"/>
  <c r="AE144" i="4"/>
  <c r="AE145" i="4"/>
  <c r="AE146" i="4"/>
  <c r="AE147" i="4"/>
  <c r="AE148" i="4"/>
  <c r="AE149" i="4"/>
  <c r="AE150" i="4"/>
  <c r="AE151" i="4"/>
  <c r="AE152" i="4"/>
  <c r="AE153" i="4"/>
  <c r="AE154" i="4"/>
  <c r="AE155" i="4"/>
  <c r="AE156" i="4"/>
  <c r="AE157" i="4"/>
  <c r="AE158" i="4"/>
  <c r="AE159" i="4"/>
  <c r="AE160" i="4"/>
  <c r="AE161" i="4"/>
  <c r="AE162" i="4"/>
  <c r="AE163" i="4"/>
  <c r="AE164" i="4"/>
  <c r="AE165" i="4"/>
  <c r="AE166" i="4"/>
  <c r="AE167" i="4"/>
  <c r="AE168" i="4"/>
  <c r="AE169" i="4"/>
  <c r="AE170" i="4"/>
  <c r="AE171" i="4"/>
  <c r="AE172" i="4"/>
  <c r="AE173" i="4"/>
  <c r="AE174" i="4"/>
  <c r="AE175" i="4"/>
  <c r="AE176" i="4"/>
  <c r="AE177" i="4"/>
  <c r="AE178" i="4"/>
  <c r="AE179" i="4"/>
  <c r="AE180" i="4"/>
  <c r="AE181" i="4"/>
  <c r="AE2" i="4"/>
  <c r="AA3" i="4"/>
  <c r="AA4" i="4"/>
  <c r="AA5" i="4"/>
  <c r="AA6" i="4"/>
  <c r="AA7" i="4"/>
  <c r="AA8" i="4"/>
  <c r="AA9" i="4"/>
  <c r="AA10" i="4"/>
  <c r="AA11" i="4"/>
  <c r="AA12" i="4"/>
  <c r="AA13" i="4"/>
  <c r="AA14" i="4"/>
  <c r="AA15" i="4"/>
  <c r="AA16" i="4"/>
  <c r="AA17" i="4"/>
  <c r="AA18" i="4"/>
  <c r="AA19" i="4"/>
  <c r="AA20" i="4"/>
  <c r="AA21" i="4"/>
  <c r="AA22" i="4"/>
  <c r="AA23" i="4"/>
  <c r="AA24" i="4"/>
  <c r="AA25" i="4"/>
  <c r="AA26" i="4"/>
  <c r="AA27" i="4"/>
  <c r="AA28" i="4"/>
  <c r="AA29" i="4"/>
  <c r="AA30" i="4"/>
  <c r="AA31" i="4"/>
  <c r="AA32" i="4"/>
  <c r="AA33" i="4"/>
  <c r="AA34" i="4"/>
  <c r="AA35" i="4"/>
  <c r="AA36" i="4"/>
  <c r="AA37" i="4"/>
  <c r="AA38" i="4"/>
  <c r="AA39" i="4"/>
  <c r="AA40" i="4"/>
  <c r="AA41" i="4"/>
  <c r="AA42" i="4"/>
  <c r="AA43" i="4"/>
  <c r="AA44" i="4"/>
  <c r="AA45" i="4"/>
  <c r="AA46" i="4"/>
  <c r="AA47" i="4"/>
  <c r="AA48" i="4"/>
  <c r="AA49" i="4"/>
  <c r="AA50" i="4"/>
  <c r="AA51" i="4"/>
  <c r="AA52" i="4"/>
  <c r="AA53" i="4"/>
  <c r="AA54" i="4"/>
  <c r="AA55" i="4"/>
  <c r="AA56" i="4"/>
  <c r="AA57" i="4"/>
  <c r="AA58" i="4"/>
  <c r="AA59" i="4"/>
  <c r="AA60" i="4"/>
  <c r="AA61" i="4"/>
  <c r="AA62" i="4"/>
  <c r="AA63" i="4"/>
  <c r="AA64" i="4"/>
  <c r="AA65" i="4"/>
  <c r="AA66" i="4"/>
  <c r="AA67" i="4"/>
  <c r="AA68" i="4"/>
  <c r="AA69" i="4"/>
  <c r="AA70" i="4"/>
  <c r="AA71" i="4"/>
  <c r="AA72" i="4"/>
  <c r="AA73" i="4"/>
  <c r="AA74" i="4"/>
  <c r="AA75" i="4"/>
  <c r="AA76" i="4"/>
  <c r="AA77" i="4"/>
  <c r="AA78" i="4"/>
  <c r="AA79" i="4"/>
  <c r="AA80" i="4"/>
  <c r="AA81" i="4"/>
  <c r="AA82" i="4"/>
  <c r="AA83" i="4"/>
  <c r="AA84" i="4"/>
  <c r="AA85" i="4"/>
  <c r="AA86" i="4"/>
  <c r="AA87" i="4"/>
  <c r="AA88" i="4"/>
  <c r="AA89" i="4"/>
  <c r="AA90" i="4"/>
  <c r="AA91" i="4"/>
  <c r="AA92" i="4"/>
  <c r="AA93" i="4"/>
  <c r="AA94" i="4"/>
  <c r="AA95" i="4"/>
  <c r="AA96" i="4"/>
  <c r="AA97" i="4"/>
  <c r="AA98" i="4"/>
  <c r="AA99" i="4"/>
  <c r="AA100" i="4"/>
  <c r="AA101" i="4"/>
  <c r="AA102" i="4"/>
  <c r="AA103" i="4"/>
  <c r="AA104" i="4"/>
  <c r="AA105" i="4"/>
  <c r="AA106" i="4"/>
  <c r="AA107" i="4"/>
  <c r="AA108" i="4"/>
  <c r="AA109" i="4"/>
  <c r="AA110" i="4"/>
  <c r="AA111" i="4"/>
  <c r="AA112" i="4"/>
  <c r="AA113" i="4"/>
  <c r="AA114" i="4"/>
  <c r="AA115" i="4"/>
  <c r="AA116" i="4"/>
  <c r="AA117" i="4"/>
  <c r="AA118" i="4"/>
  <c r="AA119" i="4"/>
  <c r="AA120" i="4"/>
  <c r="AA121" i="4"/>
  <c r="AA122" i="4"/>
  <c r="AA123" i="4"/>
  <c r="AA124" i="4"/>
  <c r="AA125" i="4"/>
  <c r="AA126" i="4"/>
  <c r="AA127" i="4"/>
  <c r="AA128" i="4"/>
  <c r="AA129" i="4"/>
  <c r="AA130" i="4"/>
  <c r="AA131" i="4"/>
  <c r="AA132" i="4"/>
  <c r="AA133" i="4"/>
  <c r="AA134" i="4"/>
  <c r="AA135" i="4"/>
  <c r="AA136" i="4"/>
  <c r="AA137" i="4"/>
  <c r="AA138" i="4"/>
  <c r="AA139" i="4"/>
  <c r="AA140" i="4"/>
  <c r="AA141" i="4"/>
  <c r="AA142" i="4"/>
  <c r="AA143" i="4"/>
  <c r="AA144" i="4"/>
  <c r="AA145" i="4"/>
  <c r="AA146" i="4"/>
  <c r="AA147" i="4"/>
  <c r="AA148" i="4"/>
  <c r="AA149" i="4"/>
  <c r="AA150" i="4"/>
  <c r="AA151" i="4"/>
  <c r="AA152" i="4"/>
  <c r="AA153" i="4"/>
  <c r="AA154" i="4"/>
  <c r="AA155" i="4"/>
  <c r="AA156" i="4"/>
  <c r="AA157" i="4"/>
  <c r="AA158" i="4"/>
  <c r="AA159" i="4"/>
  <c r="AA160" i="4"/>
  <c r="AA161" i="4"/>
  <c r="AA162" i="4"/>
  <c r="AA163" i="4"/>
  <c r="AA164" i="4"/>
  <c r="AA165" i="4"/>
  <c r="AA166" i="4"/>
  <c r="AA167" i="4"/>
  <c r="AA168" i="4"/>
  <c r="AA169" i="4"/>
  <c r="AA170" i="4"/>
  <c r="AA171" i="4"/>
  <c r="AA172" i="4"/>
  <c r="AA173" i="4"/>
  <c r="AA174" i="4"/>
  <c r="AA175" i="4"/>
  <c r="AA176" i="4"/>
  <c r="AA177" i="4"/>
  <c r="AA178" i="4"/>
  <c r="AA179" i="4"/>
  <c r="AA180" i="4"/>
  <c r="AA181" i="4"/>
  <c r="AA2" i="4"/>
  <c r="X3" i="4"/>
  <c r="X4" i="4"/>
  <c r="X5" i="4"/>
  <c r="X6" i="4"/>
  <c r="X7" i="4"/>
  <c r="X8" i="4"/>
  <c r="X9" i="4"/>
  <c r="X10" i="4"/>
  <c r="X11" i="4"/>
  <c r="X12" i="4"/>
  <c r="X13" i="4"/>
  <c r="X14" i="4"/>
  <c r="X15" i="4"/>
  <c r="X16" i="4"/>
  <c r="X17" i="4"/>
  <c r="X18" i="4"/>
  <c r="X19" i="4"/>
  <c r="X20" i="4"/>
  <c r="X21" i="4"/>
  <c r="X22" i="4"/>
  <c r="X23" i="4"/>
  <c r="X24" i="4"/>
  <c r="X25" i="4"/>
  <c r="X26" i="4"/>
  <c r="X27" i="4"/>
  <c r="X28" i="4"/>
  <c r="X29" i="4"/>
  <c r="X30" i="4"/>
  <c r="X31" i="4"/>
  <c r="X32" i="4"/>
  <c r="X33" i="4"/>
  <c r="X34" i="4"/>
  <c r="X35" i="4"/>
  <c r="X36" i="4"/>
  <c r="X37" i="4"/>
  <c r="X38" i="4"/>
  <c r="X39" i="4"/>
  <c r="X40" i="4"/>
  <c r="X41" i="4"/>
  <c r="X42" i="4"/>
  <c r="X43" i="4"/>
  <c r="X44" i="4"/>
  <c r="X45" i="4"/>
  <c r="X46" i="4"/>
  <c r="X47" i="4"/>
  <c r="X48" i="4"/>
  <c r="X49" i="4"/>
  <c r="X50" i="4"/>
  <c r="X51" i="4"/>
  <c r="X52" i="4"/>
  <c r="X53" i="4"/>
  <c r="X54" i="4"/>
  <c r="X55" i="4"/>
  <c r="X56" i="4"/>
  <c r="X57" i="4"/>
  <c r="X58" i="4"/>
  <c r="X59" i="4"/>
  <c r="X60" i="4"/>
  <c r="X61" i="4"/>
  <c r="X62" i="4"/>
  <c r="X63" i="4"/>
  <c r="X64" i="4"/>
  <c r="X65" i="4"/>
  <c r="X66" i="4"/>
  <c r="X67" i="4"/>
  <c r="X68" i="4"/>
  <c r="X69" i="4"/>
  <c r="X70" i="4"/>
  <c r="X71" i="4"/>
  <c r="X72" i="4"/>
  <c r="X73" i="4"/>
  <c r="X74" i="4"/>
  <c r="X75" i="4"/>
  <c r="X76" i="4"/>
  <c r="X77" i="4"/>
  <c r="X78" i="4"/>
  <c r="X79" i="4"/>
  <c r="X80" i="4"/>
  <c r="X81" i="4"/>
  <c r="X82" i="4"/>
  <c r="X83" i="4"/>
  <c r="X84" i="4"/>
  <c r="X85" i="4"/>
  <c r="X86" i="4"/>
  <c r="X87" i="4"/>
  <c r="X88" i="4"/>
  <c r="X89" i="4"/>
  <c r="X90" i="4"/>
  <c r="X91" i="4"/>
  <c r="X92" i="4"/>
  <c r="X93" i="4"/>
  <c r="X94" i="4"/>
  <c r="X95" i="4"/>
  <c r="X96" i="4"/>
  <c r="X97" i="4"/>
  <c r="X98" i="4"/>
  <c r="X99" i="4"/>
  <c r="X100" i="4"/>
  <c r="X101" i="4"/>
  <c r="X102" i="4"/>
  <c r="X103" i="4"/>
  <c r="X104" i="4"/>
  <c r="X105" i="4"/>
  <c r="X106" i="4"/>
  <c r="X107" i="4"/>
  <c r="X108" i="4"/>
  <c r="X109" i="4"/>
  <c r="X110" i="4"/>
  <c r="X111" i="4"/>
  <c r="X112" i="4"/>
  <c r="X113" i="4"/>
  <c r="X114" i="4"/>
  <c r="X115" i="4"/>
  <c r="X116" i="4"/>
  <c r="X117" i="4"/>
  <c r="X118" i="4"/>
  <c r="X119" i="4"/>
  <c r="X120" i="4"/>
  <c r="X121" i="4"/>
  <c r="X122" i="4"/>
  <c r="X123" i="4"/>
  <c r="X124" i="4"/>
  <c r="X125" i="4"/>
  <c r="X126" i="4"/>
  <c r="X127" i="4"/>
  <c r="X128" i="4"/>
  <c r="X129" i="4"/>
  <c r="X130" i="4"/>
  <c r="X131" i="4"/>
  <c r="X132" i="4"/>
  <c r="X133" i="4"/>
  <c r="X134" i="4"/>
  <c r="X135" i="4"/>
  <c r="X136" i="4"/>
  <c r="X137" i="4"/>
  <c r="X138" i="4"/>
  <c r="X139" i="4"/>
  <c r="X140" i="4"/>
  <c r="X141" i="4"/>
  <c r="X142" i="4"/>
  <c r="X143" i="4"/>
  <c r="X144" i="4"/>
  <c r="X145" i="4"/>
  <c r="X146" i="4"/>
  <c r="X147" i="4"/>
  <c r="X148" i="4"/>
  <c r="X149" i="4"/>
  <c r="X150" i="4"/>
  <c r="X151" i="4"/>
  <c r="X152" i="4"/>
  <c r="X153" i="4"/>
  <c r="X154" i="4"/>
  <c r="X155" i="4"/>
  <c r="X156" i="4"/>
  <c r="X157" i="4"/>
  <c r="X158" i="4"/>
  <c r="X159" i="4"/>
  <c r="X160" i="4"/>
  <c r="X161" i="4"/>
  <c r="X162" i="4"/>
  <c r="X163" i="4"/>
  <c r="X164" i="4"/>
  <c r="X165" i="4"/>
  <c r="X166" i="4"/>
  <c r="X167" i="4"/>
  <c r="X168" i="4"/>
  <c r="X169" i="4"/>
  <c r="X170" i="4"/>
  <c r="X171" i="4"/>
  <c r="X172" i="4"/>
  <c r="X173" i="4"/>
  <c r="X174" i="4"/>
  <c r="X175" i="4"/>
  <c r="X176" i="4"/>
  <c r="X177" i="4"/>
  <c r="X178" i="4"/>
  <c r="X179" i="4"/>
  <c r="X180" i="4"/>
  <c r="X181" i="4"/>
  <c r="X2" i="4"/>
  <c r="R3" i="4"/>
  <c r="R4" i="4"/>
  <c r="R5" i="4"/>
  <c r="R6" i="4"/>
  <c r="R7" i="4"/>
  <c r="R8" i="4"/>
  <c r="R9" i="4"/>
  <c r="R10" i="4"/>
  <c r="R11" i="4"/>
  <c r="R12" i="4"/>
  <c r="R13" i="4"/>
  <c r="R14" i="4"/>
  <c r="R15" i="4"/>
  <c r="R16" i="4"/>
  <c r="R17" i="4"/>
  <c r="R18" i="4"/>
  <c r="R19" i="4"/>
  <c r="R20" i="4"/>
  <c r="R21" i="4"/>
  <c r="R22" i="4"/>
  <c r="R23" i="4"/>
  <c r="R24" i="4"/>
  <c r="R25" i="4"/>
  <c r="R26" i="4"/>
  <c r="R27" i="4"/>
  <c r="R28" i="4"/>
  <c r="R29" i="4"/>
  <c r="R30" i="4"/>
  <c r="R31" i="4"/>
  <c r="R32" i="4"/>
  <c r="R33" i="4"/>
  <c r="R34" i="4"/>
  <c r="R35" i="4"/>
  <c r="R36" i="4"/>
  <c r="R37" i="4"/>
  <c r="R38" i="4"/>
  <c r="R39" i="4"/>
  <c r="R40" i="4"/>
  <c r="R41" i="4"/>
  <c r="R42" i="4"/>
  <c r="R43" i="4"/>
  <c r="R44" i="4"/>
  <c r="R45" i="4"/>
  <c r="R46" i="4"/>
  <c r="R47" i="4"/>
  <c r="R48" i="4"/>
  <c r="R49" i="4"/>
  <c r="R50" i="4"/>
  <c r="R51" i="4"/>
  <c r="R52" i="4"/>
  <c r="R53" i="4"/>
  <c r="R54" i="4"/>
  <c r="R55" i="4"/>
  <c r="R56" i="4"/>
  <c r="R57" i="4"/>
  <c r="R58" i="4"/>
  <c r="R59" i="4"/>
  <c r="R60" i="4"/>
  <c r="R61" i="4"/>
  <c r="R62" i="4"/>
  <c r="R63" i="4"/>
  <c r="R64" i="4"/>
  <c r="R65" i="4"/>
  <c r="R66" i="4"/>
  <c r="R67" i="4"/>
  <c r="R68" i="4"/>
  <c r="R69" i="4"/>
  <c r="R70" i="4"/>
  <c r="R71" i="4"/>
  <c r="R72" i="4"/>
  <c r="R73" i="4"/>
  <c r="R74" i="4"/>
  <c r="R75" i="4"/>
  <c r="R76" i="4"/>
  <c r="R77" i="4"/>
  <c r="R78" i="4"/>
  <c r="R79" i="4"/>
  <c r="R80" i="4"/>
  <c r="R81" i="4"/>
  <c r="R82" i="4"/>
  <c r="R83" i="4"/>
  <c r="R84" i="4"/>
  <c r="R85" i="4"/>
  <c r="R86" i="4"/>
  <c r="R87" i="4"/>
  <c r="R88" i="4"/>
  <c r="R89" i="4"/>
  <c r="R90" i="4"/>
  <c r="R91" i="4"/>
  <c r="R92" i="4"/>
  <c r="R93" i="4"/>
  <c r="R94" i="4"/>
  <c r="R95" i="4"/>
  <c r="R96" i="4"/>
  <c r="R97" i="4"/>
  <c r="R98" i="4"/>
  <c r="R99" i="4"/>
  <c r="R100" i="4"/>
  <c r="R101" i="4"/>
  <c r="R102" i="4"/>
  <c r="R103" i="4"/>
  <c r="R104" i="4"/>
  <c r="R105" i="4"/>
  <c r="R106" i="4"/>
  <c r="R107" i="4"/>
  <c r="R108" i="4"/>
  <c r="R109" i="4"/>
  <c r="R110" i="4"/>
  <c r="R111" i="4"/>
  <c r="R112" i="4"/>
  <c r="R113" i="4"/>
  <c r="R114" i="4"/>
  <c r="R115" i="4"/>
  <c r="R116" i="4"/>
  <c r="R117" i="4"/>
  <c r="R118" i="4"/>
  <c r="R119" i="4"/>
  <c r="R120" i="4"/>
  <c r="R121" i="4"/>
  <c r="R122" i="4"/>
  <c r="R123" i="4"/>
  <c r="R124" i="4"/>
  <c r="R125" i="4"/>
  <c r="R126" i="4"/>
  <c r="R127" i="4"/>
  <c r="R128" i="4"/>
  <c r="R129" i="4"/>
  <c r="R130" i="4"/>
  <c r="R131" i="4"/>
  <c r="R132" i="4"/>
  <c r="R133" i="4"/>
  <c r="R134" i="4"/>
  <c r="R135" i="4"/>
  <c r="R136" i="4"/>
  <c r="R137" i="4"/>
  <c r="R138" i="4"/>
  <c r="R139" i="4"/>
  <c r="R140" i="4"/>
  <c r="R141" i="4"/>
  <c r="R142" i="4"/>
  <c r="R143" i="4"/>
  <c r="R144" i="4"/>
  <c r="R145" i="4"/>
  <c r="R146" i="4"/>
  <c r="R147" i="4"/>
  <c r="R148" i="4"/>
  <c r="R149" i="4"/>
  <c r="R150" i="4"/>
  <c r="R151" i="4"/>
  <c r="R152" i="4"/>
  <c r="R153" i="4"/>
  <c r="R154" i="4"/>
  <c r="R155" i="4"/>
  <c r="R156" i="4"/>
  <c r="R157" i="4"/>
  <c r="R158" i="4"/>
  <c r="R159" i="4"/>
  <c r="R160" i="4"/>
  <c r="R161" i="4"/>
  <c r="R162" i="4"/>
  <c r="R163" i="4"/>
  <c r="R164" i="4"/>
  <c r="R165" i="4"/>
  <c r="R166" i="4"/>
  <c r="R167" i="4"/>
  <c r="R168" i="4"/>
  <c r="R169" i="4"/>
  <c r="R170" i="4"/>
  <c r="R171" i="4"/>
  <c r="R172" i="4"/>
  <c r="R173" i="4"/>
  <c r="R174" i="4"/>
  <c r="R175" i="4"/>
  <c r="R176" i="4"/>
  <c r="R177" i="4"/>
  <c r="R178" i="4"/>
  <c r="R179" i="4"/>
  <c r="R180" i="4"/>
  <c r="R181" i="4"/>
  <c r="R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B30" i="4"/>
  <c r="B19" i="4"/>
  <c r="C16" i="4" s="1"/>
  <c r="B9" i="4"/>
  <c r="C4" i="4" s="1"/>
  <c r="C29" i="4" l="1"/>
  <c r="AE182" i="4"/>
  <c r="C27" i="4"/>
  <c r="C28" i="4"/>
  <c r="C24" i="4"/>
  <c r="C25" i="4"/>
  <c r="C26" i="4"/>
  <c r="C15" i="4"/>
  <c r="C18" i="4"/>
  <c r="C17" i="4"/>
  <c r="C7" i="4"/>
  <c r="C3" i="4"/>
  <c r="E3" i="4" s="1"/>
  <c r="D4" i="4" s="1"/>
  <c r="E4" i="4" s="1"/>
  <c r="D5" i="4" s="1"/>
  <c r="C8" i="4"/>
  <c r="C6" i="4"/>
  <c r="C5" i="4"/>
  <c r="O164" i="4" l="1"/>
  <c r="O139" i="4"/>
  <c r="O49" i="4"/>
  <c r="O160" i="4"/>
  <c r="O76" i="4"/>
  <c r="O174" i="4"/>
  <c r="O132" i="4"/>
  <c r="O143" i="4"/>
  <c r="O115" i="4"/>
  <c r="O12" i="4"/>
  <c r="O101" i="4"/>
  <c r="O129" i="4"/>
  <c r="O5" i="4"/>
  <c r="O50" i="4"/>
  <c r="O87" i="4"/>
  <c r="O62" i="4"/>
  <c r="O137" i="4"/>
  <c r="O86" i="4"/>
  <c r="O114" i="4"/>
  <c r="O63" i="4"/>
  <c r="O71" i="4"/>
  <c r="O173" i="4"/>
  <c r="O8" i="4"/>
  <c r="O134" i="4"/>
  <c r="O68" i="4"/>
  <c r="O38" i="4"/>
  <c r="O78" i="4"/>
  <c r="O59" i="4"/>
  <c r="O125" i="4"/>
  <c r="O48" i="4"/>
  <c r="O53" i="4"/>
  <c r="O20" i="4"/>
  <c r="O111" i="4"/>
  <c r="O32" i="4"/>
  <c r="O96" i="4"/>
  <c r="O159" i="4"/>
  <c r="O107" i="4"/>
  <c r="O176" i="4"/>
  <c r="O9" i="4"/>
  <c r="O98" i="4"/>
  <c r="O158" i="4"/>
  <c r="O171" i="4"/>
  <c r="O61" i="4"/>
  <c r="O123" i="4"/>
  <c r="O47" i="4"/>
  <c r="O152" i="4"/>
  <c r="E5" i="4"/>
  <c r="D6" i="4" s="1"/>
  <c r="C9" i="4"/>
  <c r="E15" i="4"/>
  <c r="D16" i="4" s="1"/>
  <c r="C19" i="4"/>
  <c r="E24" i="4"/>
  <c r="D25" i="4" s="1"/>
  <c r="E25" i="4" s="1"/>
  <c r="D26" i="4" s="1"/>
  <c r="E26" i="4" s="1"/>
  <c r="D27" i="4" s="1"/>
  <c r="E27" i="4" s="1"/>
  <c r="D28" i="4" s="1"/>
  <c r="E28" i="4" s="1"/>
  <c r="D29" i="4" s="1"/>
  <c r="E29" i="4" s="1"/>
  <c r="C30" i="4"/>
  <c r="O18" i="4" l="1"/>
  <c r="O35" i="4"/>
  <c r="E6" i="4"/>
  <c r="D7" i="4" s="1"/>
  <c r="O91" i="4"/>
  <c r="O43" i="4"/>
  <c r="O163" i="4"/>
  <c r="O44" i="4"/>
  <c r="O131" i="4"/>
  <c r="O7" i="4"/>
  <c r="O88" i="4"/>
  <c r="O93" i="4"/>
  <c r="O64" i="4"/>
  <c r="O92" i="4"/>
  <c r="O162" i="4"/>
  <c r="O179" i="4"/>
  <c r="O128" i="4"/>
  <c r="O120" i="4"/>
  <c r="O16" i="4"/>
  <c r="O37" i="4"/>
  <c r="O168" i="4"/>
  <c r="O74" i="4"/>
  <c r="O99" i="4"/>
  <c r="O80" i="4"/>
  <c r="O177" i="4"/>
  <c r="O119" i="4"/>
  <c r="O138" i="4"/>
  <c r="O55" i="4"/>
  <c r="O95" i="4"/>
  <c r="O73" i="4"/>
  <c r="O110" i="4"/>
  <c r="O141" i="4"/>
  <c r="O124" i="4"/>
  <c r="O21" i="4"/>
  <c r="O167" i="4"/>
  <c r="O106" i="4"/>
  <c r="O127" i="4"/>
  <c r="O15" i="4"/>
  <c r="O46" i="4"/>
  <c r="O58" i="4"/>
  <c r="O65" i="4"/>
  <c r="O22" i="4"/>
  <c r="E16" i="4"/>
  <c r="D17" i="4" s="1"/>
  <c r="E17" i="4" s="1"/>
  <c r="D18" i="4" s="1"/>
  <c r="E18" i="4" s="1"/>
  <c r="O10" i="4"/>
  <c r="O178" i="4"/>
  <c r="O30" i="4"/>
  <c r="O175" i="4"/>
  <c r="O118" i="4"/>
  <c r="O104" i="4"/>
  <c r="O36" i="4"/>
  <c r="O155" i="4"/>
  <c r="O117" i="4"/>
  <c r="O81" i="4"/>
  <c r="O67" i="4"/>
  <c r="O41" i="4"/>
  <c r="O33" i="4"/>
  <c r="O103" i="4"/>
  <c r="O19" i="4"/>
  <c r="O79" i="4"/>
  <c r="O23" i="4"/>
  <c r="O116" i="4"/>
  <c r="O126" i="4"/>
  <c r="O172" i="4"/>
  <c r="O146" i="4"/>
  <c r="O54" i="4"/>
  <c r="O112" i="4"/>
  <c r="O14" i="4"/>
  <c r="O150" i="4"/>
  <c r="O45" i="4"/>
  <c r="O121" i="4"/>
  <c r="O102" i="4"/>
  <c r="O90" i="4"/>
  <c r="O13" i="4"/>
  <c r="O89" i="4"/>
  <c r="O122" i="4"/>
  <c r="O169" i="4"/>
  <c r="O108" i="4"/>
  <c r="O4" i="4"/>
  <c r="O75" i="4"/>
  <c r="O52" i="4"/>
  <c r="E7" i="4"/>
  <c r="D8" i="4" s="1"/>
  <c r="O51" i="4" s="1"/>
  <c r="O40" i="4" l="1"/>
  <c r="O100" i="4"/>
  <c r="O77" i="4"/>
  <c r="O140" i="4"/>
  <c r="O94" i="4"/>
  <c r="O156" i="4"/>
  <c r="O34" i="4"/>
  <c r="O180" i="4"/>
  <c r="O149" i="4"/>
  <c r="O109" i="4"/>
  <c r="O25" i="4"/>
  <c r="O83" i="4"/>
  <c r="O133" i="4"/>
  <c r="O144" i="4"/>
  <c r="O11" i="4"/>
  <c r="O2" i="4"/>
  <c r="Q2" i="4" s="1"/>
  <c r="U2" i="4" s="1"/>
  <c r="O157" i="4"/>
  <c r="O147" i="4"/>
  <c r="O165" i="4"/>
  <c r="O135" i="4"/>
  <c r="O56" i="4"/>
  <c r="O154" i="4"/>
  <c r="O84" i="4"/>
  <c r="O170" i="4"/>
  <c r="O70" i="4"/>
  <c r="O6" i="4"/>
  <c r="O151" i="4"/>
  <c r="O42" i="4"/>
  <c r="O39" i="4"/>
  <c r="O31" i="4"/>
  <c r="O72" i="4"/>
  <c r="O82" i="4"/>
  <c r="O105" i="4"/>
  <c r="O26" i="4"/>
  <c r="O148" i="4"/>
  <c r="O161" i="4"/>
  <c r="O17" i="4"/>
  <c r="E8" i="4"/>
  <c r="O181" i="4"/>
  <c r="O29" i="4"/>
  <c r="O24" i="4"/>
  <c r="O153" i="4"/>
  <c r="O113" i="4"/>
  <c r="O28" i="4"/>
  <c r="O85" i="4"/>
  <c r="O145" i="4"/>
  <c r="O142" i="4"/>
  <c r="O69" i="4"/>
  <c r="O136" i="4"/>
  <c r="O166" i="4"/>
  <c r="O97" i="4"/>
  <c r="O3" i="4"/>
  <c r="O27" i="4"/>
  <c r="O66" i="4"/>
  <c r="O57" i="4"/>
  <c r="O60" i="4"/>
  <c r="O130" i="4"/>
  <c r="S2" i="4" l="1"/>
  <c r="Y2" i="4" s="1"/>
  <c r="Z2" i="4" s="1"/>
  <c r="AD2" i="4" s="1"/>
  <c r="W2" i="4"/>
  <c r="AB2" i="4" s="1"/>
  <c r="AC2" i="4" s="1"/>
  <c r="V3" i="4"/>
  <c r="AF3" i="4" s="1"/>
  <c r="T2" i="4" l="1"/>
  <c r="P3" i="4" s="1"/>
  <c r="Q3" i="4" s="1"/>
  <c r="AG2" i="4"/>
  <c r="U3" i="4" l="1"/>
  <c r="S3" i="4"/>
  <c r="Y3" i="4" s="1"/>
  <c r="Z3" i="4" s="1"/>
  <c r="AD3" i="4" s="1"/>
  <c r="W3" i="4" l="1"/>
  <c r="V4" i="4"/>
  <c r="AF4" i="4" s="1"/>
  <c r="AB3" i="4" l="1"/>
  <c r="AC3" i="4" s="1"/>
  <c r="AG3" i="4" s="1"/>
  <c r="T3" i="4"/>
  <c r="P4" i="4" s="1"/>
  <c r="Q4" i="4" s="1"/>
  <c r="U4" i="4" l="1"/>
  <c r="S4" i="4"/>
  <c r="Y4" i="4" s="1"/>
  <c r="Z4" i="4" s="1"/>
  <c r="AD4" i="4" s="1"/>
  <c r="W4" i="4" l="1"/>
  <c r="V5" i="4"/>
  <c r="AF5" i="4" s="1"/>
  <c r="AB4" i="4" l="1"/>
  <c r="AC4" i="4" s="1"/>
  <c r="AG4" i="4" s="1"/>
  <c r="T4" i="4"/>
  <c r="P5" i="4" s="1"/>
  <c r="Q5" i="4" s="1"/>
  <c r="U5" i="4" l="1"/>
  <c r="S5" i="4"/>
  <c r="Y5" i="4" s="1"/>
  <c r="Z5" i="4" s="1"/>
  <c r="AD5" i="4" s="1"/>
  <c r="W5" i="4" l="1"/>
  <c r="V6" i="4"/>
  <c r="AF6" i="4" s="1"/>
  <c r="AB5" i="4" l="1"/>
  <c r="AC5" i="4" s="1"/>
  <c r="AG5" i="4" s="1"/>
  <c r="T5" i="4"/>
  <c r="P6" i="4" s="1"/>
  <c r="Q6" i="4" s="1"/>
  <c r="U6" i="4" l="1"/>
  <c r="S6" i="4"/>
  <c r="Y6" i="4" s="1"/>
  <c r="Z6" i="4" s="1"/>
  <c r="AD6" i="4" s="1"/>
  <c r="V7" i="4" l="1"/>
  <c r="AF7" i="4" s="1"/>
  <c r="W6" i="4"/>
  <c r="T6" i="4" l="1"/>
  <c r="P7" i="4" s="1"/>
  <c r="Q7" i="4" s="1"/>
  <c r="AB6" i="4"/>
  <c r="AC6" i="4" s="1"/>
  <c r="AG6" i="4" s="1"/>
  <c r="S7" i="4" l="1"/>
  <c r="Y7" i="4" s="1"/>
  <c r="Z7" i="4" s="1"/>
  <c r="AD7" i="4" s="1"/>
  <c r="U7" i="4"/>
  <c r="V8" i="4" l="1"/>
  <c r="AF8" i="4" s="1"/>
  <c r="W7" i="4"/>
  <c r="AB7" i="4" l="1"/>
  <c r="AC7" i="4" s="1"/>
  <c r="AG7" i="4" s="1"/>
  <c r="T7" i="4"/>
  <c r="P8" i="4" s="1"/>
  <c r="Q8" i="4" s="1"/>
  <c r="S8" i="4" l="1"/>
  <c r="Y8" i="4" s="1"/>
  <c r="Z8" i="4" s="1"/>
  <c r="AD8" i="4" s="1"/>
  <c r="U8" i="4"/>
  <c r="W8" i="4" l="1"/>
  <c r="V9" i="4"/>
  <c r="AF9" i="4" s="1"/>
  <c r="AB8" i="4" l="1"/>
  <c r="AC8" i="4" s="1"/>
  <c r="AG8" i="4" s="1"/>
  <c r="T8" i="4"/>
  <c r="P9" i="4" s="1"/>
  <c r="Q9" i="4" s="1"/>
  <c r="S9" i="4" l="1"/>
  <c r="Y9" i="4" s="1"/>
  <c r="Z9" i="4" s="1"/>
  <c r="AD9" i="4" s="1"/>
  <c r="U9" i="4"/>
  <c r="W9" i="4" l="1"/>
  <c r="V10" i="4"/>
  <c r="AF10" i="4" s="1"/>
  <c r="AB9" i="4" l="1"/>
  <c r="AC9" i="4" s="1"/>
  <c r="AG9" i="4" s="1"/>
  <c r="T9" i="4"/>
  <c r="P10" i="4" s="1"/>
  <c r="Q10" i="4" s="1"/>
  <c r="S10" i="4" l="1"/>
  <c r="Y10" i="4" s="1"/>
  <c r="Z10" i="4" s="1"/>
  <c r="AD10" i="4" s="1"/>
  <c r="U10" i="4"/>
  <c r="W10" i="4" l="1"/>
  <c r="V11" i="4"/>
  <c r="AF11" i="4" s="1"/>
  <c r="AB10" i="4" l="1"/>
  <c r="AC10" i="4" s="1"/>
  <c r="AG10" i="4" s="1"/>
  <c r="T10" i="4"/>
  <c r="P11" i="4" s="1"/>
  <c r="Q11" i="4" s="1"/>
  <c r="U11" i="4" l="1"/>
  <c r="S11" i="4"/>
  <c r="Y11" i="4" s="1"/>
  <c r="Z11" i="4" s="1"/>
  <c r="AD11" i="4" s="1"/>
  <c r="W11" i="4" l="1"/>
  <c r="V12" i="4"/>
  <c r="AF12" i="4" s="1"/>
  <c r="AB11" i="4" l="1"/>
  <c r="AC11" i="4" s="1"/>
  <c r="AG11" i="4" s="1"/>
  <c r="T11" i="4"/>
  <c r="P12" i="4" s="1"/>
  <c r="Q12" i="4" s="1"/>
  <c r="S12" i="4" l="1"/>
  <c r="Y12" i="4" s="1"/>
  <c r="Z12" i="4" s="1"/>
  <c r="AD12" i="4" s="1"/>
  <c r="U12" i="4"/>
  <c r="V13" i="4" l="1"/>
  <c r="AF13" i="4" s="1"/>
  <c r="W12" i="4"/>
  <c r="AB12" i="4" l="1"/>
  <c r="AC12" i="4" s="1"/>
  <c r="AG12" i="4" s="1"/>
  <c r="T12" i="4"/>
  <c r="P13" i="4" s="1"/>
  <c r="Q13" i="4" s="1"/>
  <c r="S13" i="4" l="1"/>
  <c r="Y13" i="4" s="1"/>
  <c r="Z13" i="4" s="1"/>
  <c r="AD13" i="4" s="1"/>
  <c r="U13" i="4"/>
  <c r="W13" i="4" l="1"/>
  <c r="V14" i="4"/>
  <c r="AF14" i="4" s="1"/>
  <c r="AB13" i="4" l="1"/>
  <c r="AC13" i="4" s="1"/>
  <c r="AG13" i="4" s="1"/>
  <c r="T13" i="4"/>
  <c r="P14" i="4" s="1"/>
  <c r="Q14" i="4" s="1"/>
  <c r="S14" i="4" l="1"/>
  <c r="Y14" i="4" s="1"/>
  <c r="Z14" i="4" s="1"/>
  <c r="AD14" i="4" s="1"/>
  <c r="U14" i="4"/>
  <c r="W14" i="4" l="1"/>
  <c r="V15" i="4"/>
  <c r="AF15" i="4" s="1"/>
  <c r="AB14" i="4" l="1"/>
  <c r="AC14" i="4" s="1"/>
  <c r="AG14" i="4" s="1"/>
  <c r="T14" i="4"/>
  <c r="P15" i="4" s="1"/>
  <c r="Q15" i="4" s="1"/>
  <c r="S15" i="4" l="1"/>
  <c r="Y15" i="4" s="1"/>
  <c r="Z15" i="4" s="1"/>
  <c r="AD15" i="4" s="1"/>
  <c r="U15" i="4"/>
  <c r="W15" i="4" l="1"/>
  <c r="V16" i="4"/>
  <c r="AF16" i="4" s="1"/>
  <c r="AB15" i="4" l="1"/>
  <c r="AC15" i="4" s="1"/>
  <c r="AG15" i="4" s="1"/>
  <c r="T15" i="4"/>
  <c r="P16" i="4" s="1"/>
  <c r="Q16" i="4" s="1"/>
  <c r="S16" i="4" l="1"/>
  <c r="Y16" i="4" s="1"/>
  <c r="Z16" i="4" s="1"/>
  <c r="AD16" i="4" s="1"/>
  <c r="U16" i="4"/>
  <c r="W16" i="4" l="1"/>
  <c r="V17" i="4"/>
  <c r="AF17" i="4" s="1"/>
  <c r="AB16" i="4" l="1"/>
  <c r="AC16" i="4" s="1"/>
  <c r="AG16" i="4" s="1"/>
  <c r="T16" i="4"/>
  <c r="P17" i="4" s="1"/>
  <c r="Q17" i="4" s="1"/>
  <c r="S17" i="4" l="1"/>
  <c r="Y17" i="4" s="1"/>
  <c r="Z17" i="4" s="1"/>
  <c r="AD17" i="4" s="1"/>
  <c r="U17" i="4"/>
  <c r="V18" i="4" l="1"/>
  <c r="AF18" i="4" s="1"/>
  <c r="W17" i="4"/>
  <c r="AB17" i="4" l="1"/>
  <c r="AC17" i="4" s="1"/>
  <c r="AG17" i="4" s="1"/>
  <c r="T17" i="4"/>
  <c r="P18" i="4" s="1"/>
  <c r="Q18" i="4" s="1"/>
  <c r="U18" i="4" l="1"/>
  <c r="S18" i="4"/>
  <c r="Y18" i="4" s="1"/>
  <c r="Z18" i="4" s="1"/>
  <c r="AD18" i="4" s="1"/>
  <c r="V19" i="4" l="1"/>
  <c r="AF19" i="4" s="1"/>
  <c r="W18" i="4"/>
  <c r="AB18" i="4" l="1"/>
  <c r="AC18" i="4" s="1"/>
  <c r="AG18" i="4" s="1"/>
  <c r="T18" i="4"/>
  <c r="P19" i="4" s="1"/>
  <c r="Q19" i="4" s="1"/>
  <c r="U19" i="4" l="1"/>
  <c r="S19" i="4"/>
  <c r="Y19" i="4" s="1"/>
  <c r="Z19" i="4" s="1"/>
  <c r="AD19" i="4" s="1"/>
  <c r="W19" i="4" l="1"/>
  <c r="V20" i="4"/>
  <c r="AF20" i="4" s="1"/>
  <c r="AB19" i="4" l="1"/>
  <c r="AC19" i="4" s="1"/>
  <c r="AG19" i="4" s="1"/>
  <c r="T19" i="4"/>
  <c r="P20" i="4" s="1"/>
  <c r="Q20" i="4" s="1"/>
  <c r="S20" i="4" l="1"/>
  <c r="Y20" i="4" s="1"/>
  <c r="Z20" i="4" s="1"/>
  <c r="AD20" i="4" s="1"/>
  <c r="U20" i="4"/>
  <c r="W20" i="4" l="1"/>
  <c r="V21" i="4"/>
  <c r="AF21" i="4" s="1"/>
  <c r="AB20" i="4" l="1"/>
  <c r="AC20" i="4" s="1"/>
  <c r="AG20" i="4" s="1"/>
  <c r="T20" i="4"/>
  <c r="P21" i="4" s="1"/>
  <c r="Q21" i="4" s="1"/>
  <c r="U21" i="4" l="1"/>
  <c r="S21" i="4"/>
  <c r="Y21" i="4" s="1"/>
  <c r="Z21" i="4" s="1"/>
  <c r="AD21" i="4" s="1"/>
  <c r="V22" i="4" l="1"/>
  <c r="AF22" i="4" s="1"/>
  <c r="W21" i="4"/>
  <c r="AB21" i="4" l="1"/>
  <c r="AC21" i="4" s="1"/>
  <c r="AG21" i="4" s="1"/>
  <c r="T21" i="4"/>
  <c r="P22" i="4" s="1"/>
  <c r="Q22" i="4" s="1"/>
  <c r="U22" i="4" l="1"/>
  <c r="S22" i="4"/>
  <c r="Y22" i="4" s="1"/>
  <c r="Z22" i="4" s="1"/>
  <c r="AD22" i="4" s="1"/>
  <c r="W22" i="4" l="1"/>
  <c r="V23" i="4"/>
  <c r="AF23" i="4" s="1"/>
  <c r="AB22" i="4" l="1"/>
  <c r="AC22" i="4" s="1"/>
  <c r="AG22" i="4" s="1"/>
  <c r="T22" i="4"/>
  <c r="P23" i="4" s="1"/>
  <c r="Q23" i="4" s="1"/>
  <c r="U23" i="4" l="1"/>
  <c r="S23" i="4"/>
  <c r="Y23" i="4" s="1"/>
  <c r="Z23" i="4" s="1"/>
  <c r="AD23" i="4" s="1"/>
  <c r="W23" i="4" l="1"/>
  <c r="V24" i="4"/>
  <c r="AF24" i="4" s="1"/>
  <c r="AB23" i="4" l="1"/>
  <c r="AC23" i="4" s="1"/>
  <c r="AG23" i="4" s="1"/>
  <c r="T23" i="4"/>
  <c r="P24" i="4" s="1"/>
  <c r="Q24" i="4" s="1"/>
  <c r="U24" i="4" l="1"/>
  <c r="S24" i="4"/>
  <c r="Y24" i="4" s="1"/>
  <c r="Z24" i="4" s="1"/>
  <c r="AD24" i="4" s="1"/>
  <c r="W24" i="4" l="1"/>
  <c r="V25" i="4"/>
  <c r="AF25" i="4" s="1"/>
  <c r="AB24" i="4" l="1"/>
  <c r="AC24" i="4" s="1"/>
  <c r="AG24" i="4" s="1"/>
  <c r="T24" i="4"/>
  <c r="P25" i="4" s="1"/>
  <c r="Q25" i="4" s="1"/>
  <c r="U25" i="4" l="1"/>
  <c r="S25" i="4"/>
  <c r="Y25" i="4" s="1"/>
  <c r="Z25" i="4" s="1"/>
  <c r="AD25" i="4" s="1"/>
  <c r="V26" i="4" l="1"/>
  <c r="AF26" i="4" s="1"/>
  <c r="W25" i="4"/>
  <c r="T25" i="4" l="1"/>
  <c r="P26" i="4" s="1"/>
  <c r="Q26" i="4" s="1"/>
  <c r="AB25" i="4"/>
  <c r="AC25" i="4" s="1"/>
  <c r="AG25" i="4" s="1"/>
  <c r="S26" i="4" l="1"/>
  <c r="Y26" i="4" s="1"/>
  <c r="Z26" i="4" s="1"/>
  <c r="AD26" i="4" s="1"/>
  <c r="U26" i="4"/>
  <c r="V27" i="4" l="1"/>
  <c r="AF27" i="4" s="1"/>
  <c r="W26" i="4"/>
  <c r="T26" i="4" l="1"/>
  <c r="P27" i="4" s="1"/>
  <c r="Q27" i="4" s="1"/>
  <c r="AB26" i="4"/>
  <c r="AC26" i="4" s="1"/>
  <c r="AG26" i="4" s="1"/>
  <c r="S27" i="4" l="1"/>
  <c r="Y27" i="4" s="1"/>
  <c r="Z27" i="4" s="1"/>
  <c r="AD27" i="4" s="1"/>
  <c r="U27" i="4"/>
  <c r="V28" i="4" l="1"/>
  <c r="AF28" i="4" s="1"/>
  <c r="W27" i="4"/>
  <c r="AB27" i="4" l="1"/>
  <c r="AC27" i="4" s="1"/>
  <c r="AG27" i="4" s="1"/>
  <c r="T27" i="4"/>
  <c r="P28" i="4" s="1"/>
  <c r="Q28" i="4" s="1"/>
  <c r="U28" i="4" l="1"/>
  <c r="S28" i="4"/>
  <c r="Y28" i="4" s="1"/>
  <c r="Z28" i="4" s="1"/>
  <c r="AD28" i="4" s="1"/>
  <c r="V29" i="4" l="1"/>
  <c r="AF29" i="4" s="1"/>
  <c r="W28" i="4"/>
  <c r="T28" i="4" l="1"/>
  <c r="P29" i="4" s="1"/>
  <c r="Q29" i="4" s="1"/>
  <c r="AB28" i="4"/>
  <c r="AC28" i="4" s="1"/>
  <c r="AG28" i="4" s="1"/>
  <c r="U29" i="4" l="1"/>
  <c r="S29" i="4"/>
  <c r="Y29" i="4" s="1"/>
  <c r="Z29" i="4" s="1"/>
  <c r="AD29" i="4" s="1"/>
  <c r="W29" i="4" l="1"/>
  <c r="V30" i="4"/>
  <c r="AF30" i="4" s="1"/>
  <c r="T29" i="4" l="1"/>
  <c r="P30" i="4" s="1"/>
  <c r="Q30" i="4" s="1"/>
  <c r="AB29" i="4"/>
  <c r="AC29" i="4" s="1"/>
  <c r="AG29" i="4" s="1"/>
  <c r="S30" i="4" l="1"/>
  <c r="Y30" i="4" s="1"/>
  <c r="Z30" i="4" s="1"/>
  <c r="AD30" i="4" s="1"/>
  <c r="U30" i="4"/>
  <c r="W30" i="4" l="1"/>
  <c r="V31" i="4"/>
  <c r="AF31" i="4" s="1"/>
  <c r="AB30" i="4" l="1"/>
  <c r="AC30" i="4" s="1"/>
  <c r="AG30" i="4" s="1"/>
  <c r="T30" i="4"/>
  <c r="P31" i="4" s="1"/>
  <c r="Q31" i="4" s="1"/>
  <c r="U31" i="4" l="1"/>
  <c r="S31" i="4"/>
  <c r="Y31" i="4" s="1"/>
  <c r="Z31" i="4" s="1"/>
  <c r="AD31" i="4" s="1"/>
  <c r="W31" i="4" l="1"/>
  <c r="V32" i="4"/>
  <c r="AF32" i="4" s="1"/>
  <c r="AB31" i="4" l="1"/>
  <c r="AC31" i="4" s="1"/>
  <c r="AG31" i="4" s="1"/>
  <c r="T31" i="4"/>
  <c r="P32" i="4" s="1"/>
  <c r="Q32" i="4" s="1"/>
  <c r="U32" i="4" l="1"/>
  <c r="S32" i="4"/>
  <c r="Y32" i="4" s="1"/>
  <c r="Z32" i="4" s="1"/>
  <c r="AD32" i="4" s="1"/>
  <c r="W32" i="4" l="1"/>
  <c r="V33" i="4"/>
  <c r="AF33" i="4" s="1"/>
  <c r="T32" i="4" l="1"/>
  <c r="P33" i="4" s="1"/>
  <c r="Q33" i="4" s="1"/>
  <c r="AB32" i="4"/>
  <c r="AC32" i="4" s="1"/>
  <c r="AG32" i="4" s="1"/>
  <c r="S33" i="4" l="1"/>
  <c r="Y33" i="4" s="1"/>
  <c r="Z33" i="4" s="1"/>
  <c r="AD33" i="4" s="1"/>
  <c r="U33" i="4"/>
  <c r="W33" i="4" l="1"/>
  <c r="V34" i="4"/>
  <c r="AF34" i="4" s="1"/>
  <c r="T33" i="4" l="1"/>
  <c r="P34" i="4" s="1"/>
  <c r="Q34" i="4" s="1"/>
  <c r="AB33" i="4"/>
  <c r="AC33" i="4" s="1"/>
  <c r="AG33" i="4" s="1"/>
  <c r="S34" i="4" l="1"/>
  <c r="Y34" i="4" s="1"/>
  <c r="Z34" i="4" s="1"/>
  <c r="AD34" i="4" s="1"/>
  <c r="U34" i="4"/>
  <c r="V35" i="4" l="1"/>
  <c r="AF35" i="4" s="1"/>
  <c r="W34" i="4"/>
  <c r="T34" i="4" l="1"/>
  <c r="P35" i="4" s="1"/>
  <c r="Q35" i="4" s="1"/>
  <c r="AB34" i="4"/>
  <c r="AC34" i="4" s="1"/>
  <c r="AG34" i="4" s="1"/>
  <c r="S35" i="4" l="1"/>
  <c r="Y35" i="4" s="1"/>
  <c r="Z35" i="4" s="1"/>
  <c r="AD35" i="4" s="1"/>
  <c r="U35" i="4"/>
  <c r="V36" i="4" l="1"/>
  <c r="AF36" i="4" s="1"/>
  <c r="W35" i="4"/>
  <c r="AB35" i="4" l="1"/>
  <c r="AC35" i="4" s="1"/>
  <c r="AG35" i="4" s="1"/>
  <c r="T35" i="4"/>
  <c r="P36" i="4" s="1"/>
  <c r="Q36" i="4" s="1"/>
  <c r="U36" i="4" l="1"/>
  <c r="S36" i="4"/>
  <c r="Y36" i="4" s="1"/>
  <c r="Z36" i="4" s="1"/>
  <c r="AD36" i="4" s="1"/>
  <c r="V37" i="4" l="1"/>
  <c r="AF37" i="4" s="1"/>
  <c r="W36" i="4"/>
  <c r="AB36" i="4" l="1"/>
  <c r="AC36" i="4" s="1"/>
  <c r="AG36" i="4" s="1"/>
  <c r="T36" i="4"/>
  <c r="P37" i="4" s="1"/>
  <c r="Q37" i="4" s="1"/>
  <c r="S37" i="4" l="1"/>
  <c r="Y37" i="4" s="1"/>
  <c r="Z37" i="4" s="1"/>
  <c r="AD37" i="4" s="1"/>
  <c r="U37" i="4"/>
  <c r="W37" i="4" l="1"/>
  <c r="V38" i="4"/>
  <c r="AF38" i="4" s="1"/>
  <c r="AB37" i="4" l="1"/>
  <c r="AC37" i="4" s="1"/>
  <c r="AG37" i="4" s="1"/>
  <c r="T37" i="4"/>
  <c r="P38" i="4" s="1"/>
  <c r="Q38" i="4" s="1"/>
  <c r="S38" i="4" l="1"/>
  <c r="Y38" i="4" s="1"/>
  <c r="Z38" i="4" s="1"/>
  <c r="AD38" i="4" s="1"/>
  <c r="U38" i="4"/>
  <c r="V39" i="4" l="1"/>
  <c r="AF39" i="4" s="1"/>
  <c r="W38" i="4"/>
  <c r="AB38" i="4" l="1"/>
  <c r="AC38" i="4" s="1"/>
  <c r="AG38" i="4" s="1"/>
  <c r="T38" i="4"/>
  <c r="P39" i="4" s="1"/>
  <c r="Q39" i="4" s="1"/>
  <c r="U39" i="4" l="1"/>
  <c r="S39" i="4"/>
  <c r="Y39" i="4" s="1"/>
  <c r="Z39" i="4" s="1"/>
  <c r="AD39" i="4" s="1"/>
  <c r="W39" i="4" l="1"/>
  <c r="V40" i="4"/>
  <c r="AF40" i="4" s="1"/>
  <c r="AB39" i="4" l="1"/>
  <c r="AC39" i="4" s="1"/>
  <c r="AG39" i="4" s="1"/>
  <c r="T39" i="4"/>
  <c r="P40" i="4" s="1"/>
  <c r="Q40" i="4" s="1"/>
  <c r="S40" i="4" l="1"/>
  <c r="Y40" i="4" s="1"/>
  <c r="Z40" i="4" s="1"/>
  <c r="AD40" i="4" s="1"/>
  <c r="U40" i="4"/>
  <c r="V41" i="4" l="1"/>
  <c r="AF41" i="4" s="1"/>
  <c r="W40" i="4"/>
  <c r="AB40" i="4" l="1"/>
  <c r="AC40" i="4" s="1"/>
  <c r="AG40" i="4" s="1"/>
  <c r="T40" i="4"/>
  <c r="P41" i="4" s="1"/>
  <c r="Q41" i="4" s="1"/>
  <c r="U41" i="4" l="1"/>
  <c r="S41" i="4"/>
  <c r="Y41" i="4" s="1"/>
  <c r="Z41" i="4" s="1"/>
  <c r="AD41" i="4" s="1"/>
  <c r="W41" i="4" l="1"/>
  <c r="V42" i="4"/>
  <c r="AF42" i="4" s="1"/>
  <c r="AB41" i="4" l="1"/>
  <c r="AC41" i="4" s="1"/>
  <c r="AG41" i="4" s="1"/>
  <c r="T41" i="4"/>
  <c r="P42" i="4" s="1"/>
  <c r="Q42" i="4" s="1"/>
  <c r="S42" i="4" l="1"/>
  <c r="Y42" i="4" s="1"/>
  <c r="Z42" i="4" s="1"/>
  <c r="AD42" i="4" s="1"/>
  <c r="U42" i="4"/>
  <c r="W42" i="4" l="1"/>
  <c r="V43" i="4"/>
  <c r="AF43" i="4" s="1"/>
  <c r="AB42" i="4" l="1"/>
  <c r="AC42" i="4" s="1"/>
  <c r="AG42" i="4" s="1"/>
  <c r="T42" i="4"/>
  <c r="P43" i="4" s="1"/>
  <c r="Q43" i="4" s="1"/>
  <c r="S43" i="4" l="1"/>
  <c r="Y43" i="4" s="1"/>
  <c r="Z43" i="4" s="1"/>
  <c r="AD43" i="4" s="1"/>
  <c r="U43" i="4"/>
  <c r="W43" i="4" l="1"/>
  <c r="V44" i="4"/>
  <c r="AF44" i="4" s="1"/>
  <c r="AB43" i="4" l="1"/>
  <c r="AC43" i="4" s="1"/>
  <c r="AG43" i="4" s="1"/>
  <c r="T43" i="4"/>
  <c r="P44" i="4" s="1"/>
  <c r="Q44" i="4" s="1"/>
  <c r="S44" i="4" l="1"/>
  <c r="Y44" i="4" s="1"/>
  <c r="Z44" i="4" s="1"/>
  <c r="AD44" i="4" s="1"/>
  <c r="U44" i="4"/>
  <c r="W44" i="4" l="1"/>
  <c r="V45" i="4"/>
  <c r="AF45" i="4" s="1"/>
  <c r="AB44" i="4" l="1"/>
  <c r="AC44" i="4" s="1"/>
  <c r="AG44" i="4" s="1"/>
  <c r="T44" i="4"/>
  <c r="P45" i="4" s="1"/>
  <c r="Q45" i="4" s="1"/>
  <c r="S45" i="4" l="1"/>
  <c r="Y45" i="4" s="1"/>
  <c r="Z45" i="4" s="1"/>
  <c r="AD45" i="4" s="1"/>
  <c r="U45" i="4"/>
  <c r="W45" i="4" l="1"/>
  <c r="V46" i="4"/>
  <c r="AF46" i="4" s="1"/>
  <c r="AB45" i="4" l="1"/>
  <c r="AC45" i="4" s="1"/>
  <c r="AG45" i="4" s="1"/>
  <c r="T45" i="4"/>
  <c r="P46" i="4" s="1"/>
  <c r="Q46" i="4" s="1"/>
  <c r="U46" i="4" l="1"/>
  <c r="S46" i="4"/>
  <c r="Y46" i="4" s="1"/>
  <c r="Z46" i="4" s="1"/>
  <c r="AD46" i="4" s="1"/>
  <c r="V47" i="4" l="1"/>
  <c r="AF47" i="4" s="1"/>
  <c r="W46" i="4"/>
  <c r="AB46" i="4" l="1"/>
  <c r="AC46" i="4" s="1"/>
  <c r="AG46" i="4" s="1"/>
  <c r="T46" i="4"/>
  <c r="P47" i="4" s="1"/>
  <c r="Q47" i="4" s="1"/>
  <c r="U47" i="4" l="1"/>
  <c r="S47" i="4"/>
  <c r="Y47" i="4" s="1"/>
  <c r="Z47" i="4" s="1"/>
  <c r="AD47" i="4" s="1"/>
  <c r="V48" i="4" l="1"/>
  <c r="AF48" i="4" s="1"/>
  <c r="W47" i="4"/>
  <c r="AB47" i="4" l="1"/>
  <c r="AC47" i="4" s="1"/>
  <c r="AG47" i="4" s="1"/>
  <c r="T47" i="4"/>
  <c r="P48" i="4" s="1"/>
  <c r="Q48" i="4" s="1"/>
  <c r="U48" i="4" l="1"/>
  <c r="S48" i="4"/>
  <c r="Y48" i="4" s="1"/>
  <c r="Z48" i="4" s="1"/>
  <c r="AD48" i="4" s="1"/>
  <c r="W48" i="4" l="1"/>
  <c r="V49" i="4"/>
  <c r="AF49" i="4" s="1"/>
  <c r="AB48" i="4" l="1"/>
  <c r="AC48" i="4" s="1"/>
  <c r="AG48" i="4" s="1"/>
  <c r="T48" i="4"/>
  <c r="P49" i="4" s="1"/>
  <c r="Q49" i="4" s="1"/>
  <c r="U49" i="4" l="1"/>
  <c r="S49" i="4"/>
  <c r="Y49" i="4" s="1"/>
  <c r="Z49" i="4" s="1"/>
  <c r="AD49" i="4" s="1"/>
  <c r="V50" i="4" l="1"/>
  <c r="AF50" i="4" s="1"/>
  <c r="W49" i="4"/>
  <c r="AB49" i="4" l="1"/>
  <c r="AC49" i="4" s="1"/>
  <c r="AG49" i="4" s="1"/>
  <c r="T49" i="4"/>
  <c r="P50" i="4" s="1"/>
  <c r="Q50" i="4" s="1"/>
  <c r="U50" i="4" l="1"/>
  <c r="S50" i="4"/>
  <c r="Y50" i="4" s="1"/>
  <c r="Z50" i="4" s="1"/>
  <c r="AD50" i="4" s="1"/>
  <c r="V51" i="4" l="1"/>
  <c r="AF51" i="4" s="1"/>
  <c r="W50" i="4"/>
  <c r="AB50" i="4" l="1"/>
  <c r="AC50" i="4" s="1"/>
  <c r="AG50" i="4" s="1"/>
  <c r="T50" i="4"/>
  <c r="P51" i="4" s="1"/>
  <c r="Q51" i="4" s="1"/>
  <c r="S51" i="4" l="1"/>
  <c r="Y51" i="4" s="1"/>
  <c r="Z51" i="4" s="1"/>
  <c r="AD51" i="4" s="1"/>
  <c r="U51" i="4"/>
  <c r="V52" i="4" l="1"/>
  <c r="AF52" i="4" s="1"/>
  <c r="W51" i="4"/>
  <c r="AB51" i="4" l="1"/>
  <c r="AC51" i="4" s="1"/>
  <c r="AG51" i="4" s="1"/>
  <c r="T51" i="4"/>
  <c r="P52" i="4" s="1"/>
  <c r="Q52" i="4" s="1"/>
  <c r="S52" i="4" l="1"/>
  <c r="Y52" i="4" s="1"/>
  <c r="Z52" i="4" s="1"/>
  <c r="AD52" i="4" s="1"/>
  <c r="U52" i="4"/>
  <c r="V53" i="4" l="1"/>
  <c r="AF53" i="4" s="1"/>
  <c r="W52" i="4"/>
  <c r="AB52" i="4" l="1"/>
  <c r="AC52" i="4" s="1"/>
  <c r="AG52" i="4" s="1"/>
  <c r="T52" i="4"/>
  <c r="P53" i="4" s="1"/>
  <c r="Q53" i="4" s="1"/>
  <c r="U53" i="4" l="1"/>
  <c r="S53" i="4"/>
  <c r="Y53" i="4" s="1"/>
  <c r="Z53" i="4" s="1"/>
  <c r="AD53" i="4" s="1"/>
  <c r="W53" i="4" l="1"/>
  <c r="V54" i="4"/>
  <c r="AF54" i="4" s="1"/>
  <c r="AB53" i="4" l="1"/>
  <c r="AC53" i="4" s="1"/>
  <c r="AG53" i="4" s="1"/>
  <c r="T53" i="4"/>
  <c r="P54" i="4" s="1"/>
  <c r="Q54" i="4" s="1"/>
  <c r="S54" i="4" l="1"/>
  <c r="Y54" i="4" s="1"/>
  <c r="Z54" i="4" s="1"/>
  <c r="AD54" i="4" s="1"/>
  <c r="U54" i="4"/>
  <c r="W54" i="4" l="1"/>
  <c r="V55" i="4"/>
  <c r="AF55" i="4" s="1"/>
  <c r="AB54" i="4" l="1"/>
  <c r="AC54" i="4" s="1"/>
  <c r="AG54" i="4" s="1"/>
  <c r="T54" i="4"/>
  <c r="P55" i="4" s="1"/>
  <c r="Q55" i="4" s="1"/>
  <c r="U55" i="4" l="1"/>
  <c r="S55" i="4"/>
  <c r="Y55" i="4" s="1"/>
  <c r="Z55" i="4" s="1"/>
  <c r="AD55" i="4" s="1"/>
  <c r="W55" i="4" l="1"/>
  <c r="V56" i="4"/>
  <c r="AF56" i="4" s="1"/>
  <c r="AB55" i="4" l="1"/>
  <c r="AC55" i="4" s="1"/>
  <c r="AG55" i="4" s="1"/>
  <c r="T55" i="4"/>
  <c r="P56" i="4" s="1"/>
  <c r="Q56" i="4" s="1"/>
  <c r="S56" i="4" l="1"/>
  <c r="Y56" i="4" s="1"/>
  <c r="Z56" i="4" s="1"/>
  <c r="AD56" i="4" s="1"/>
  <c r="U56" i="4"/>
  <c r="V57" i="4" l="1"/>
  <c r="AF57" i="4" s="1"/>
  <c r="W56" i="4"/>
  <c r="AB56" i="4" l="1"/>
  <c r="AC56" i="4" s="1"/>
  <c r="AG56" i="4" s="1"/>
  <c r="T56" i="4"/>
  <c r="P57" i="4" s="1"/>
  <c r="Q57" i="4" s="1"/>
  <c r="U57" i="4" l="1"/>
  <c r="S57" i="4"/>
  <c r="Y57" i="4" s="1"/>
  <c r="Z57" i="4" s="1"/>
  <c r="AD57" i="4" s="1"/>
  <c r="V58" i="4" l="1"/>
  <c r="AF58" i="4" s="1"/>
  <c r="W57" i="4"/>
  <c r="T57" i="4" l="1"/>
  <c r="P58" i="4" s="1"/>
  <c r="Q58" i="4" s="1"/>
  <c r="AB57" i="4"/>
  <c r="AC57" i="4" s="1"/>
  <c r="AG57" i="4" s="1"/>
  <c r="U58" i="4" l="1"/>
  <c r="S58" i="4"/>
  <c r="Y58" i="4" s="1"/>
  <c r="Z58" i="4" s="1"/>
  <c r="AD58" i="4" s="1"/>
  <c r="V59" i="4" l="1"/>
  <c r="AF59" i="4" s="1"/>
  <c r="W58" i="4"/>
  <c r="T58" i="4" l="1"/>
  <c r="P59" i="4" s="1"/>
  <c r="Q59" i="4" s="1"/>
  <c r="AB58" i="4"/>
  <c r="AC58" i="4" s="1"/>
  <c r="AG58" i="4" s="1"/>
  <c r="U59" i="4" l="1"/>
  <c r="S59" i="4"/>
  <c r="Y59" i="4" s="1"/>
  <c r="Z59" i="4" s="1"/>
  <c r="AD59" i="4" s="1"/>
  <c r="V60" i="4" l="1"/>
  <c r="AF60" i="4" s="1"/>
  <c r="W59" i="4"/>
  <c r="T59" i="4" l="1"/>
  <c r="P60" i="4" s="1"/>
  <c r="Q60" i="4" s="1"/>
  <c r="AB59" i="4"/>
  <c r="AC59" i="4" s="1"/>
  <c r="AG59" i="4" s="1"/>
  <c r="U60" i="4" l="1"/>
  <c r="S60" i="4"/>
  <c r="Y60" i="4" s="1"/>
  <c r="Z60" i="4" s="1"/>
  <c r="AD60" i="4" s="1"/>
  <c r="V61" i="4" l="1"/>
  <c r="AF61" i="4" s="1"/>
  <c r="W60" i="4"/>
  <c r="T60" i="4" l="1"/>
  <c r="P61" i="4" s="1"/>
  <c r="Q61" i="4" s="1"/>
  <c r="AB60" i="4"/>
  <c r="AC60" i="4" s="1"/>
  <c r="AG60" i="4" s="1"/>
  <c r="S61" i="4" l="1"/>
  <c r="Y61" i="4" s="1"/>
  <c r="Z61" i="4" s="1"/>
  <c r="AD61" i="4" s="1"/>
  <c r="U61" i="4"/>
  <c r="W61" i="4" l="1"/>
  <c r="V62" i="4"/>
  <c r="AF62" i="4" s="1"/>
  <c r="AB61" i="4" l="1"/>
  <c r="AC61" i="4" s="1"/>
  <c r="AG61" i="4" s="1"/>
  <c r="T61" i="4"/>
  <c r="P62" i="4" s="1"/>
  <c r="Q62" i="4" s="1"/>
  <c r="U62" i="4" l="1"/>
  <c r="S62" i="4"/>
  <c r="Y62" i="4" s="1"/>
  <c r="Z62" i="4" s="1"/>
  <c r="AD62" i="4" s="1"/>
  <c r="W62" i="4" l="1"/>
  <c r="V63" i="4"/>
  <c r="AF63" i="4" s="1"/>
  <c r="AB62" i="4" l="1"/>
  <c r="AC62" i="4" s="1"/>
  <c r="AG62" i="4" s="1"/>
  <c r="T62" i="4"/>
  <c r="P63" i="4" s="1"/>
  <c r="Q63" i="4" s="1"/>
  <c r="S63" i="4" l="1"/>
  <c r="Y63" i="4" s="1"/>
  <c r="Z63" i="4" s="1"/>
  <c r="AD63" i="4" s="1"/>
  <c r="U63" i="4"/>
  <c r="W63" i="4" l="1"/>
  <c r="V64" i="4"/>
  <c r="AF64" i="4" s="1"/>
  <c r="T63" i="4" l="1"/>
  <c r="P64" i="4" s="1"/>
  <c r="Q64" i="4" s="1"/>
  <c r="AB63" i="4"/>
  <c r="AC63" i="4" s="1"/>
  <c r="AG63" i="4" s="1"/>
  <c r="S64" i="4" l="1"/>
  <c r="Y64" i="4" s="1"/>
  <c r="Z64" i="4" s="1"/>
  <c r="AD64" i="4" s="1"/>
  <c r="U64" i="4"/>
  <c r="W64" i="4" l="1"/>
  <c r="V65" i="4"/>
  <c r="AF65" i="4" s="1"/>
  <c r="AB64" i="4" l="1"/>
  <c r="AC64" i="4" s="1"/>
  <c r="AG64" i="4" s="1"/>
  <c r="T64" i="4"/>
  <c r="P65" i="4" s="1"/>
  <c r="Q65" i="4" s="1"/>
  <c r="U65" i="4" l="1"/>
  <c r="S65" i="4"/>
  <c r="Y65" i="4" s="1"/>
  <c r="Z65" i="4" s="1"/>
  <c r="AD65" i="4" s="1"/>
  <c r="W65" i="4" l="1"/>
  <c r="V66" i="4"/>
  <c r="AF66" i="4" s="1"/>
  <c r="AB65" i="4" l="1"/>
  <c r="AC65" i="4" s="1"/>
  <c r="AG65" i="4" s="1"/>
  <c r="T65" i="4"/>
  <c r="P66" i="4" s="1"/>
  <c r="Q66" i="4" s="1"/>
  <c r="S66" i="4" l="1"/>
  <c r="Y66" i="4" s="1"/>
  <c r="Z66" i="4" s="1"/>
  <c r="AD66" i="4" s="1"/>
  <c r="U66" i="4"/>
  <c r="W66" i="4" l="1"/>
  <c r="V67" i="4"/>
  <c r="AF67" i="4" s="1"/>
  <c r="AB66" i="4" l="1"/>
  <c r="AC66" i="4" s="1"/>
  <c r="AG66" i="4" s="1"/>
  <c r="T66" i="4"/>
  <c r="P67" i="4" s="1"/>
  <c r="Q67" i="4" s="1"/>
  <c r="S67" i="4" l="1"/>
  <c r="Y67" i="4" s="1"/>
  <c r="Z67" i="4" s="1"/>
  <c r="AD67" i="4" s="1"/>
  <c r="U67" i="4"/>
  <c r="W67" i="4" l="1"/>
  <c r="V68" i="4"/>
  <c r="AF68" i="4" s="1"/>
  <c r="AB67" i="4" l="1"/>
  <c r="AC67" i="4" s="1"/>
  <c r="AG67" i="4" s="1"/>
  <c r="T67" i="4"/>
  <c r="P68" i="4" s="1"/>
  <c r="Q68" i="4" s="1"/>
  <c r="U68" i="4" l="1"/>
  <c r="S68" i="4"/>
  <c r="Y68" i="4" s="1"/>
  <c r="Z68" i="4" s="1"/>
  <c r="AD68" i="4" s="1"/>
  <c r="W68" i="4" l="1"/>
  <c r="V69" i="4"/>
  <c r="AF69" i="4" s="1"/>
  <c r="AB68" i="4" l="1"/>
  <c r="AC68" i="4" s="1"/>
  <c r="AG68" i="4" s="1"/>
  <c r="T68" i="4"/>
  <c r="P69" i="4" s="1"/>
  <c r="Q69" i="4" s="1"/>
  <c r="U69" i="4" l="1"/>
  <c r="S69" i="4"/>
  <c r="Y69" i="4" s="1"/>
  <c r="Z69" i="4" s="1"/>
  <c r="AD69" i="4" s="1"/>
  <c r="V70" i="4" l="1"/>
  <c r="AF70" i="4" s="1"/>
  <c r="W69" i="4"/>
  <c r="AB69" i="4" l="1"/>
  <c r="AC69" i="4" s="1"/>
  <c r="AG69" i="4" s="1"/>
  <c r="T69" i="4"/>
  <c r="P70" i="4" s="1"/>
  <c r="Q70" i="4" s="1"/>
  <c r="U70" i="4" l="1"/>
  <c r="S70" i="4"/>
  <c r="Y70" i="4" s="1"/>
  <c r="Z70" i="4" s="1"/>
  <c r="AD70" i="4" s="1"/>
  <c r="V71" i="4" l="1"/>
  <c r="AF71" i="4" s="1"/>
  <c r="W70" i="4"/>
  <c r="AB70" i="4" l="1"/>
  <c r="AC70" i="4" s="1"/>
  <c r="AG70" i="4" s="1"/>
  <c r="T70" i="4"/>
  <c r="P71" i="4" s="1"/>
  <c r="Q71" i="4" s="1"/>
  <c r="S71" i="4" l="1"/>
  <c r="Y71" i="4" s="1"/>
  <c r="Z71" i="4" s="1"/>
  <c r="AD71" i="4" s="1"/>
  <c r="U71" i="4"/>
  <c r="V72" i="4" l="1"/>
  <c r="AF72" i="4" s="1"/>
  <c r="W71" i="4"/>
  <c r="AB71" i="4" l="1"/>
  <c r="AC71" i="4" s="1"/>
  <c r="AG71" i="4" s="1"/>
  <c r="T71" i="4"/>
  <c r="P72" i="4" s="1"/>
  <c r="Q72" i="4" s="1"/>
  <c r="S72" i="4" l="1"/>
  <c r="Y72" i="4" s="1"/>
  <c r="Z72" i="4" s="1"/>
  <c r="AD72" i="4" s="1"/>
  <c r="U72" i="4"/>
  <c r="V73" i="4" l="1"/>
  <c r="AF73" i="4" s="1"/>
  <c r="W72" i="4"/>
  <c r="AB72" i="4" l="1"/>
  <c r="AC72" i="4" s="1"/>
  <c r="AG72" i="4" s="1"/>
  <c r="T72" i="4"/>
  <c r="P73" i="4" s="1"/>
  <c r="Q73" i="4" s="1"/>
  <c r="U73" i="4" l="1"/>
  <c r="S73" i="4"/>
  <c r="Y73" i="4" s="1"/>
  <c r="Z73" i="4" s="1"/>
  <c r="AD73" i="4" s="1"/>
  <c r="V74" i="4" l="1"/>
  <c r="AF74" i="4" s="1"/>
  <c r="W73" i="4"/>
  <c r="AB73" i="4" l="1"/>
  <c r="AC73" i="4" s="1"/>
  <c r="AG73" i="4" s="1"/>
  <c r="T73" i="4"/>
  <c r="P74" i="4" s="1"/>
  <c r="Q74" i="4" s="1"/>
  <c r="U74" i="4" l="1"/>
  <c r="S74" i="4"/>
  <c r="Y74" i="4" s="1"/>
  <c r="Z74" i="4" s="1"/>
  <c r="AD74" i="4" s="1"/>
  <c r="V75" i="4" l="1"/>
  <c r="AF75" i="4" s="1"/>
  <c r="W74" i="4"/>
  <c r="AB74" i="4" l="1"/>
  <c r="AC74" i="4" s="1"/>
  <c r="AG74" i="4" s="1"/>
  <c r="T74" i="4"/>
  <c r="P75" i="4" s="1"/>
  <c r="Q75" i="4" s="1"/>
  <c r="U75" i="4" l="1"/>
  <c r="S75" i="4"/>
  <c r="Y75" i="4" s="1"/>
  <c r="Z75" i="4" s="1"/>
  <c r="AD75" i="4" s="1"/>
  <c r="W75" i="4" l="1"/>
  <c r="V76" i="4"/>
  <c r="AF76" i="4" s="1"/>
  <c r="AB75" i="4" l="1"/>
  <c r="AC75" i="4" s="1"/>
  <c r="AG75" i="4" s="1"/>
  <c r="T75" i="4"/>
  <c r="P76" i="4" s="1"/>
  <c r="Q76" i="4" s="1"/>
  <c r="U76" i="4" l="1"/>
  <c r="S76" i="4"/>
  <c r="Y76" i="4" s="1"/>
  <c r="Z76" i="4" s="1"/>
  <c r="AD76" i="4" s="1"/>
  <c r="V77" i="4" l="1"/>
  <c r="AF77" i="4" s="1"/>
  <c r="W76" i="4"/>
  <c r="AB76" i="4" l="1"/>
  <c r="AC76" i="4" s="1"/>
  <c r="AG76" i="4" s="1"/>
  <c r="T76" i="4"/>
  <c r="P77" i="4" s="1"/>
  <c r="Q77" i="4" s="1"/>
  <c r="U77" i="4" l="1"/>
  <c r="S77" i="4"/>
  <c r="Y77" i="4" s="1"/>
  <c r="Z77" i="4" s="1"/>
  <c r="AD77" i="4" s="1"/>
  <c r="V78" i="4" l="1"/>
  <c r="AF78" i="4" s="1"/>
  <c r="W77" i="4"/>
  <c r="AB77" i="4" l="1"/>
  <c r="AC77" i="4" s="1"/>
  <c r="AG77" i="4" s="1"/>
  <c r="T77" i="4"/>
  <c r="P78" i="4" s="1"/>
  <c r="Q78" i="4" s="1"/>
  <c r="U78" i="4" l="1"/>
  <c r="S78" i="4"/>
  <c r="Y78" i="4" s="1"/>
  <c r="Z78" i="4" s="1"/>
  <c r="AD78" i="4" s="1"/>
  <c r="V79" i="4" l="1"/>
  <c r="AF79" i="4" s="1"/>
  <c r="W78" i="4"/>
  <c r="AB78" i="4" l="1"/>
  <c r="AC78" i="4" s="1"/>
  <c r="AG78" i="4" s="1"/>
  <c r="T78" i="4"/>
  <c r="P79" i="4" s="1"/>
  <c r="Q79" i="4" s="1"/>
  <c r="U79" i="4" l="1"/>
  <c r="S79" i="4"/>
  <c r="Y79" i="4" s="1"/>
  <c r="Z79" i="4" s="1"/>
  <c r="AD79" i="4" s="1"/>
  <c r="W79" i="4" l="1"/>
  <c r="V80" i="4"/>
  <c r="AF80" i="4" s="1"/>
  <c r="AB79" i="4" l="1"/>
  <c r="AC79" i="4" s="1"/>
  <c r="AG79" i="4" s="1"/>
  <c r="T79" i="4"/>
  <c r="P80" i="4" s="1"/>
  <c r="Q80" i="4" s="1"/>
  <c r="S80" i="4" l="1"/>
  <c r="Y80" i="4" s="1"/>
  <c r="Z80" i="4" s="1"/>
  <c r="AD80" i="4" s="1"/>
  <c r="U80" i="4"/>
  <c r="W80" i="4" l="1"/>
  <c r="V81" i="4"/>
  <c r="AF81" i="4" s="1"/>
  <c r="AB80" i="4" l="1"/>
  <c r="AC80" i="4" s="1"/>
  <c r="AG80" i="4" s="1"/>
  <c r="T80" i="4"/>
  <c r="P81" i="4" s="1"/>
  <c r="Q81" i="4" s="1"/>
  <c r="S81" i="4" l="1"/>
  <c r="Y81" i="4" s="1"/>
  <c r="Z81" i="4" s="1"/>
  <c r="AD81" i="4" s="1"/>
  <c r="U81" i="4"/>
  <c r="V82" i="4" l="1"/>
  <c r="AF82" i="4" s="1"/>
  <c r="W81" i="4"/>
  <c r="AB81" i="4" l="1"/>
  <c r="AC81" i="4" s="1"/>
  <c r="AG81" i="4" s="1"/>
  <c r="T81" i="4"/>
  <c r="P82" i="4" s="1"/>
  <c r="Q82" i="4" s="1"/>
  <c r="S82" i="4" l="1"/>
  <c r="Y82" i="4" s="1"/>
  <c r="Z82" i="4" s="1"/>
  <c r="AD82" i="4" s="1"/>
  <c r="U82" i="4"/>
  <c r="W82" i="4" l="1"/>
  <c r="V83" i="4"/>
  <c r="AF83" i="4" s="1"/>
  <c r="T82" i="4" l="1"/>
  <c r="P83" i="4" s="1"/>
  <c r="Q83" i="4" s="1"/>
  <c r="AB82" i="4"/>
  <c r="AC82" i="4" s="1"/>
  <c r="AG82" i="4" s="1"/>
  <c r="S83" i="4" l="1"/>
  <c r="Y83" i="4" s="1"/>
  <c r="Z83" i="4" s="1"/>
  <c r="AD83" i="4" s="1"/>
  <c r="U83" i="4"/>
  <c r="W83" i="4" l="1"/>
  <c r="V84" i="4"/>
  <c r="AF84" i="4" s="1"/>
  <c r="AB83" i="4" l="1"/>
  <c r="AC83" i="4" s="1"/>
  <c r="AG83" i="4" s="1"/>
  <c r="T83" i="4"/>
  <c r="P84" i="4" s="1"/>
  <c r="Q84" i="4" s="1"/>
  <c r="S84" i="4" l="1"/>
  <c r="Y84" i="4" s="1"/>
  <c r="Z84" i="4" s="1"/>
  <c r="AD84" i="4" s="1"/>
  <c r="U84" i="4"/>
  <c r="V85" i="4" l="1"/>
  <c r="AF85" i="4" s="1"/>
  <c r="W84" i="4"/>
  <c r="AB84" i="4" l="1"/>
  <c r="AC84" i="4" s="1"/>
  <c r="AG84" i="4" s="1"/>
  <c r="T84" i="4"/>
  <c r="P85" i="4" s="1"/>
  <c r="Q85" i="4" s="1"/>
  <c r="S85" i="4" l="1"/>
  <c r="Y85" i="4" s="1"/>
  <c r="Z85" i="4" s="1"/>
  <c r="AD85" i="4" s="1"/>
  <c r="U85" i="4"/>
  <c r="V86" i="4" l="1"/>
  <c r="AF86" i="4" s="1"/>
  <c r="W85" i="4"/>
  <c r="AB85" i="4" l="1"/>
  <c r="AC85" i="4" s="1"/>
  <c r="AG85" i="4" s="1"/>
  <c r="T85" i="4"/>
  <c r="P86" i="4" s="1"/>
  <c r="Q86" i="4" s="1"/>
  <c r="S86" i="4" l="1"/>
  <c r="Y86" i="4" s="1"/>
  <c r="Z86" i="4" s="1"/>
  <c r="AD86" i="4" s="1"/>
  <c r="U86" i="4"/>
  <c r="W86" i="4" l="1"/>
  <c r="V87" i="4"/>
  <c r="AF87" i="4" s="1"/>
  <c r="AB86" i="4" l="1"/>
  <c r="AC86" i="4" s="1"/>
  <c r="AG86" i="4" s="1"/>
  <c r="T86" i="4"/>
  <c r="P87" i="4" s="1"/>
  <c r="Q87" i="4" s="1"/>
  <c r="S87" i="4" l="1"/>
  <c r="Y87" i="4" s="1"/>
  <c r="Z87" i="4" s="1"/>
  <c r="AD87" i="4" s="1"/>
  <c r="U87" i="4"/>
  <c r="V88" i="4" l="1"/>
  <c r="AF88" i="4" s="1"/>
  <c r="W87" i="4"/>
  <c r="AB87" i="4" l="1"/>
  <c r="AC87" i="4" s="1"/>
  <c r="AG87" i="4" s="1"/>
  <c r="T87" i="4"/>
  <c r="P88" i="4" s="1"/>
  <c r="Q88" i="4" s="1"/>
  <c r="S88" i="4" l="1"/>
  <c r="Y88" i="4" s="1"/>
  <c r="Z88" i="4" s="1"/>
  <c r="AD88" i="4" s="1"/>
  <c r="U88" i="4"/>
  <c r="W88" i="4" l="1"/>
  <c r="V89" i="4"/>
  <c r="AF89" i="4" s="1"/>
  <c r="AB88" i="4" l="1"/>
  <c r="AC88" i="4" s="1"/>
  <c r="AG88" i="4" s="1"/>
  <c r="T88" i="4"/>
  <c r="P89" i="4" s="1"/>
  <c r="Q89" i="4" s="1"/>
  <c r="S89" i="4" l="1"/>
  <c r="Y89" i="4" s="1"/>
  <c r="Z89" i="4" s="1"/>
  <c r="AD89" i="4" s="1"/>
  <c r="U89" i="4"/>
  <c r="V90" i="4" l="1"/>
  <c r="AF90" i="4" s="1"/>
  <c r="W89" i="4"/>
  <c r="AB89" i="4" l="1"/>
  <c r="AC89" i="4" s="1"/>
  <c r="AG89" i="4" s="1"/>
  <c r="T89" i="4"/>
  <c r="P90" i="4" s="1"/>
  <c r="Q90" i="4" s="1"/>
  <c r="U90" i="4" l="1"/>
  <c r="S90" i="4"/>
  <c r="Y90" i="4" s="1"/>
  <c r="Z90" i="4" s="1"/>
  <c r="AD90" i="4" s="1"/>
  <c r="V91" i="4" l="1"/>
  <c r="AF91" i="4" s="1"/>
  <c r="W90" i="4"/>
  <c r="AB90" i="4" l="1"/>
  <c r="AC90" i="4" s="1"/>
  <c r="AG90" i="4" s="1"/>
  <c r="T90" i="4"/>
  <c r="P91" i="4" s="1"/>
  <c r="Q91" i="4" s="1"/>
  <c r="U91" i="4" l="1"/>
  <c r="S91" i="4"/>
  <c r="Y91" i="4" s="1"/>
  <c r="Z91" i="4" s="1"/>
  <c r="AD91" i="4" s="1"/>
  <c r="W91" i="4" l="1"/>
  <c r="V92" i="4"/>
  <c r="AF92" i="4" s="1"/>
  <c r="T91" i="4" l="1"/>
  <c r="P92" i="4" s="1"/>
  <c r="Q92" i="4" s="1"/>
  <c r="AB91" i="4"/>
  <c r="AC91" i="4" s="1"/>
  <c r="AG91" i="4" s="1"/>
  <c r="S92" i="4" l="1"/>
  <c r="Y92" i="4" s="1"/>
  <c r="Z92" i="4" s="1"/>
  <c r="AD92" i="4" s="1"/>
  <c r="U92" i="4"/>
  <c r="V93" i="4" l="1"/>
  <c r="AF93" i="4" s="1"/>
  <c r="W92" i="4"/>
  <c r="T92" i="4" l="1"/>
  <c r="P93" i="4" s="1"/>
  <c r="Q93" i="4" s="1"/>
  <c r="AB92" i="4"/>
  <c r="AC92" i="4" s="1"/>
  <c r="AG92" i="4" s="1"/>
  <c r="S93" i="4" l="1"/>
  <c r="Y93" i="4" s="1"/>
  <c r="Z93" i="4" s="1"/>
  <c r="AD93" i="4" s="1"/>
  <c r="U93" i="4"/>
  <c r="V94" i="4" l="1"/>
  <c r="AF94" i="4" s="1"/>
  <c r="W93" i="4"/>
  <c r="T93" i="4" l="1"/>
  <c r="P94" i="4" s="1"/>
  <c r="Q94" i="4" s="1"/>
  <c r="AB93" i="4"/>
  <c r="AC93" i="4" s="1"/>
  <c r="AG93" i="4" s="1"/>
  <c r="S94" i="4" l="1"/>
  <c r="Y94" i="4" s="1"/>
  <c r="Z94" i="4" s="1"/>
  <c r="AD94" i="4" s="1"/>
  <c r="U94" i="4"/>
  <c r="V95" i="4" l="1"/>
  <c r="AF95" i="4" s="1"/>
  <c r="W94" i="4"/>
  <c r="T94" i="4" l="1"/>
  <c r="P95" i="4" s="1"/>
  <c r="Q95" i="4" s="1"/>
  <c r="AB94" i="4"/>
  <c r="AC94" i="4" s="1"/>
  <c r="AG94" i="4" s="1"/>
  <c r="U95" i="4" l="1"/>
  <c r="S95" i="4"/>
  <c r="Y95" i="4" s="1"/>
  <c r="Z95" i="4" s="1"/>
  <c r="AD95" i="4" s="1"/>
  <c r="W95" i="4" l="1"/>
  <c r="V96" i="4"/>
  <c r="AF96" i="4" s="1"/>
  <c r="AB95" i="4" l="1"/>
  <c r="AC95" i="4" s="1"/>
  <c r="AG95" i="4" s="1"/>
  <c r="T95" i="4"/>
  <c r="P96" i="4" s="1"/>
  <c r="Q96" i="4" s="1"/>
  <c r="U96" i="4" l="1"/>
  <c r="S96" i="4"/>
  <c r="Y96" i="4" s="1"/>
  <c r="Z96" i="4" s="1"/>
  <c r="AD96" i="4" s="1"/>
  <c r="W96" i="4" l="1"/>
  <c r="V97" i="4"/>
  <c r="AF97" i="4" s="1"/>
  <c r="AB96" i="4" l="1"/>
  <c r="AC96" i="4" s="1"/>
  <c r="AG96" i="4" s="1"/>
  <c r="T96" i="4"/>
  <c r="P97" i="4" s="1"/>
  <c r="Q97" i="4" s="1"/>
  <c r="U97" i="4" l="1"/>
  <c r="S97" i="4"/>
  <c r="Y97" i="4" s="1"/>
  <c r="Z97" i="4" s="1"/>
  <c r="AD97" i="4" s="1"/>
  <c r="V98" i="4" l="1"/>
  <c r="AF98" i="4" s="1"/>
  <c r="W97" i="4"/>
  <c r="T97" i="4" l="1"/>
  <c r="P98" i="4" s="1"/>
  <c r="Q98" i="4" s="1"/>
  <c r="AB97" i="4"/>
  <c r="AC97" i="4" s="1"/>
  <c r="AG97" i="4" s="1"/>
  <c r="U98" i="4" l="1"/>
  <c r="S98" i="4"/>
  <c r="Y98" i="4" s="1"/>
  <c r="Z98" i="4" s="1"/>
  <c r="AD98" i="4" s="1"/>
  <c r="W98" i="4" l="1"/>
  <c r="V99" i="4"/>
  <c r="AF99" i="4" s="1"/>
  <c r="AB98" i="4" l="1"/>
  <c r="AC98" i="4" s="1"/>
  <c r="AG98" i="4" s="1"/>
  <c r="T98" i="4"/>
  <c r="P99" i="4" s="1"/>
  <c r="Q99" i="4" s="1"/>
  <c r="S99" i="4" l="1"/>
  <c r="Y99" i="4" s="1"/>
  <c r="Z99" i="4" s="1"/>
  <c r="AD99" i="4" s="1"/>
  <c r="U99" i="4"/>
  <c r="W99" i="4" l="1"/>
  <c r="V100" i="4"/>
  <c r="AF100" i="4" s="1"/>
  <c r="AB99" i="4" l="1"/>
  <c r="AC99" i="4" s="1"/>
  <c r="AG99" i="4" s="1"/>
  <c r="T99" i="4"/>
  <c r="P100" i="4" s="1"/>
  <c r="Q100" i="4" s="1"/>
  <c r="S100" i="4" l="1"/>
  <c r="Y100" i="4" s="1"/>
  <c r="Z100" i="4" s="1"/>
  <c r="AD100" i="4" s="1"/>
  <c r="U100" i="4"/>
  <c r="V101" i="4" l="1"/>
  <c r="AF101" i="4" s="1"/>
  <c r="W100" i="4"/>
  <c r="AB100" i="4" l="1"/>
  <c r="AC100" i="4" s="1"/>
  <c r="AG100" i="4" s="1"/>
  <c r="T100" i="4"/>
  <c r="P101" i="4" s="1"/>
  <c r="Q101" i="4" s="1"/>
  <c r="U101" i="4" l="1"/>
  <c r="S101" i="4"/>
  <c r="Y101" i="4" s="1"/>
  <c r="Z101" i="4" s="1"/>
  <c r="AD101" i="4" s="1"/>
  <c r="V102" i="4" l="1"/>
  <c r="AF102" i="4" s="1"/>
  <c r="W101" i="4"/>
  <c r="AB101" i="4" l="1"/>
  <c r="AC101" i="4" s="1"/>
  <c r="AG101" i="4" s="1"/>
  <c r="T101" i="4"/>
  <c r="P102" i="4" s="1"/>
  <c r="Q102" i="4" s="1"/>
  <c r="S102" i="4" l="1"/>
  <c r="Y102" i="4" s="1"/>
  <c r="Z102" i="4" s="1"/>
  <c r="AD102" i="4" s="1"/>
  <c r="U102" i="4"/>
  <c r="V103" i="4" l="1"/>
  <c r="AF103" i="4" s="1"/>
  <c r="W102" i="4"/>
  <c r="AB102" i="4" l="1"/>
  <c r="AC102" i="4" s="1"/>
  <c r="AG102" i="4" s="1"/>
  <c r="T102" i="4"/>
  <c r="P103" i="4" s="1"/>
  <c r="Q103" i="4" s="1"/>
  <c r="S103" i="4" l="1"/>
  <c r="Y103" i="4" s="1"/>
  <c r="Z103" i="4" s="1"/>
  <c r="AD103" i="4" s="1"/>
  <c r="U103" i="4"/>
  <c r="V104" i="4" l="1"/>
  <c r="AF104" i="4" s="1"/>
  <c r="W103" i="4"/>
  <c r="AB103" i="4" l="1"/>
  <c r="AC103" i="4" s="1"/>
  <c r="AG103" i="4" s="1"/>
  <c r="T103" i="4"/>
  <c r="P104" i="4" s="1"/>
  <c r="Q104" i="4" s="1"/>
  <c r="S104" i="4" l="1"/>
  <c r="Y104" i="4" s="1"/>
  <c r="Z104" i="4" s="1"/>
  <c r="AD104" i="4" s="1"/>
  <c r="U104" i="4"/>
  <c r="V105" i="4" l="1"/>
  <c r="AF105" i="4" s="1"/>
  <c r="W104" i="4"/>
  <c r="AB104" i="4" l="1"/>
  <c r="AC104" i="4" s="1"/>
  <c r="AG104" i="4" s="1"/>
  <c r="T104" i="4"/>
  <c r="P105" i="4" s="1"/>
  <c r="Q105" i="4" s="1"/>
  <c r="U105" i="4" l="1"/>
  <c r="S105" i="4"/>
  <c r="Y105" i="4" s="1"/>
  <c r="Z105" i="4" s="1"/>
  <c r="AD105" i="4" s="1"/>
  <c r="V106" i="4" l="1"/>
  <c r="AF106" i="4" s="1"/>
  <c r="W105" i="4"/>
  <c r="AB105" i="4" l="1"/>
  <c r="AC105" i="4" s="1"/>
  <c r="AG105" i="4" s="1"/>
  <c r="T105" i="4"/>
  <c r="P106" i="4" s="1"/>
  <c r="Q106" i="4" s="1"/>
  <c r="U106" i="4" l="1"/>
  <c r="S106" i="4"/>
  <c r="Y106" i="4" s="1"/>
  <c r="Z106" i="4" s="1"/>
  <c r="AD106" i="4" s="1"/>
  <c r="W106" i="4" l="1"/>
  <c r="V107" i="4"/>
  <c r="AF107" i="4" s="1"/>
  <c r="AB106" i="4" l="1"/>
  <c r="AC106" i="4" s="1"/>
  <c r="AG106" i="4" s="1"/>
  <c r="T106" i="4"/>
  <c r="P107" i="4" s="1"/>
  <c r="Q107" i="4" s="1"/>
  <c r="S107" i="4" l="1"/>
  <c r="Y107" i="4" s="1"/>
  <c r="Z107" i="4" s="1"/>
  <c r="AD107" i="4" s="1"/>
  <c r="U107" i="4"/>
  <c r="V108" i="4" l="1"/>
  <c r="AF108" i="4" s="1"/>
  <c r="W107" i="4"/>
  <c r="AB107" i="4" l="1"/>
  <c r="AC107" i="4" s="1"/>
  <c r="AG107" i="4" s="1"/>
  <c r="T107" i="4"/>
  <c r="P108" i="4" s="1"/>
  <c r="Q108" i="4" s="1"/>
  <c r="S108" i="4" l="1"/>
  <c r="Y108" i="4" s="1"/>
  <c r="Z108" i="4" s="1"/>
  <c r="AD108" i="4" s="1"/>
  <c r="U108" i="4"/>
  <c r="V109" i="4" l="1"/>
  <c r="AF109" i="4" s="1"/>
  <c r="W108" i="4"/>
  <c r="AB108" i="4" l="1"/>
  <c r="AC108" i="4" s="1"/>
  <c r="AG108" i="4" s="1"/>
  <c r="T108" i="4"/>
  <c r="P109" i="4" s="1"/>
  <c r="Q109" i="4" s="1"/>
  <c r="U109" i="4" l="1"/>
  <c r="S109" i="4"/>
  <c r="Y109" i="4" s="1"/>
  <c r="Z109" i="4" s="1"/>
  <c r="AD109" i="4" s="1"/>
  <c r="W109" i="4" l="1"/>
  <c r="V110" i="4"/>
  <c r="AF110" i="4" s="1"/>
  <c r="AB109" i="4" l="1"/>
  <c r="AC109" i="4" s="1"/>
  <c r="AG109" i="4" s="1"/>
  <c r="T109" i="4"/>
  <c r="P110" i="4" s="1"/>
  <c r="Q110" i="4" s="1"/>
  <c r="U110" i="4" l="1"/>
  <c r="S110" i="4"/>
  <c r="Y110" i="4" s="1"/>
  <c r="Z110" i="4" s="1"/>
  <c r="AD110" i="4" s="1"/>
  <c r="W110" i="4" l="1"/>
  <c r="V111" i="4"/>
  <c r="AF111" i="4" s="1"/>
  <c r="AB110" i="4" l="1"/>
  <c r="AC110" i="4" s="1"/>
  <c r="AG110" i="4" s="1"/>
  <c r="T110" i="4"/>
  <c r="P111" i="4" s="1"/>
  <c r="Q111" i="4" s="1"/>
  <c r="U111" i="4" l="1"/>
  <c r="S111" i="4"/>
  <c r="Y111" i="4" s="1"/>
  <c r="Z111" i="4" s="1"/>
  <c r="AD111" i="4" s="1"/>
  <c r="V112" i="4" l="1"/>
  <c r="AF112" i="4" s="1"/>
  <c r="W111" i="4"/>
  <c r="AB111" i="4" l="1"/>
  <c r="AC111" i="4" s="1"/>
  <c r="AG111" i="4" s="1"/>
  <c r="T111" i="4"/>
  <c r="P112" i="4" s="1"/>
  <c r="Q112" i="4" s="1"/>
  <c r="U112" i="4" l="1"/>
  <c r="S112" i="4"/>
  <c r="Y112" i="4" s="1"/>
  <c r="Z112" i="4" s="1"/>
  <c r="AD112" i="4" s="1"/>
  <c r="V113" i="4" l="1"/>
  <c r="AF113" i="4" s="1"/>
  <c r="W112" i="4"/>
  <c r="T112" i="4" l="1"/>
  <c r="P113" i="4" s="1"/>
  <c r="Q113" i="4" s="1"/>
  <c r="AB112" i="4"/>
  <c r="AC112" i="4" s="1"/>
  <c r="AG112" i="4" s="1"/>
  <c r="S113" i="4" l="1"/>
  <c r="Y113" i="4" s="1"/>
  <c r="Z113" i="4" s="1"/>
  <c r="AD113" i="4" s="1"/>
  <c r="U113" i="4"/>
  <c r="W113" i="4" l="1"/>
  <c r="V114" i="4"/>
  <c r="AF114" i="4" s="1"/>
  <c r="AB113" i="4" l="1"/>
  <c r="AC113" i="4" s="1"/>
  <c r="AG113" i="4" s="1"/>
  <c r="T113" i="4"/>
  <c r="P114" i="4" s="1"/>
  <c r="Q114" i="4" s="1"/>
  <c r="U114" i="4" l="1"/>
  <c r="S114" i="4"/>
  <c r="Y114" i="4" s="1"/>
  <c r="Z114" i="4" s="1"/>
  <c r="AD114" i="4" s="1"/>
  <c r="V115" i="4" l="1"/>
  <c r="AF115" i="4" s="1"/>
  <c r="W114" i="4"/>
  <c r="AB114" i="4" l="1"/>
  <c r="AC114" i="4" s="1"/>
  <c r="AG114" i="4" s="1"/>
  <c r="T114" i="4"/>
  <c r="P115" i="4" s="1"/>
  <c r="Q115" i="4" s="1"/>
  <c r="U115" i="4" l="1"/>
  <c r="S115" i="4"/>
  <c r="Y115" i="4" s="1"/>
  <c r="Z115" i="4" s="1"/>
  <c r="AD115" i="4" s="1"/>
  <c r="W115" i="4" l="1"/>
  <c r="V116" i="4"/>
  <c r="AF116" i="4" s="1"/>
  <c r="AB115" i="4" l="1"/>
  <c r="AC115" i="4" s="1"/>
  <c r="AG115" i="4" s="1"/>
  <c r="T115" i="4"/>
  <c r="P116" i="4" s="1"/>
  <c r="Q116" i="4" s="1"/>
  <c r="S116" i="4" l="1"/>
  <c r="Y116" i="4" s="1"/>
  <c r="Z116" i="4" s="1"/>
  <c r="AD116" i="4" s="1"/>
  <c r="U116" i="4"/>
  <c r="V117" i="4" l="1"/>
  <c r="AF117" i="4" s="1"/>
  <c r="W116" i="4"/>
  <c r="T116" i="4" l="1"/>
  <c r="P117" i="4" s="1"/>
  <c r="Q117" i="4" s="1"/>
  <c r="AB116" i="4"/>
  <c r="AC116" i="4" s="1"/>
  <c r="AG116" i="4" s="1"/>
  <c r="S117" i="4" l="1"/>
  <c r="Y117" i="4" s="1"/>
  <c r="Z117" i="4" s="1"/>
  <c r="AD117" i="4" s="1"/>
  <c r="U117" i="4"/>
  <c r="W117" i="4" l="1"/>
  <c r="V118" i="4"/>
  <c r="AF118" i="4" s="1"/>
  <c r="AB117" i="4" l="1"/>
  <c r="AC117" i="4" s="1"/>
  <c r="AG117" i="4" s="1"/>
  <c r="T117" i="4"/>
  <c r="P118" i="4" s="1"/>
  <c r="Q118" i="4" s="1"/>
  <c r="S118" i="4" l="1"/>
  <c r="Y118" i="4" s="1"/>
  <c r="Z118" i="4" s="1"/>
  <c r="AD118" i="4" s="1"/>
  <c r="U118" i="4"/>
  <c r="W118" i="4" l="1"/>
  <c r="V119" i="4"/>
  <c r="AF119" i="4" s="1"/>
  <c r="T118" i="4" l="1"/>
  <c r="P119" i="4" s="1"/>
  <c r="Q119" i="4" s="1"/>
  <c r="AB118" i="4"/>
  <c r="AC118" i="4" s="1"/>
  <c r="AG118" i="4" s="1"/>
  <c r="S119" i="4" l="1"/>
  <c r="Y119" i="4" s="1"/>
  <c r="Z119" i="4" s="1"/>
  <c r="AD119" i="4" s="1"/>
  <c r="U119" i="4"/>
  <c r="W119" i="4" l="1"/>
  <c r="V120" i="4"/>
  <c r="AF120" i="4" s="1"/>
  <c r="AB119" i="4" l="1"/>
  <c r="AC119" i="4" s="1"/>
  <c r="AG119" i="4" s="1"/>
  <c r="T119" i="4"/>
  <c r="P120" i="4" s="1"/>
  <c r="Q120" i="4" s="1"/>
  <c r="S120" i="4" l="1"/>
  <c r="Y120" i="4" s="1"/>
  <c r="Z120" i="4" s="1"/>
  <c r="AD120" i="4" s="1"/>
  <c r="U120" i="4"/>
  <c r="W120" i="4" l="1"/>
  <c r="V121" i="4"/>
  <c r="AF121" i="4" s="1"/>
  <c r="AB120" i="4" l="1"/>
  <c r="AC120" i="4" s="1"/>
  <c r="AG120" i="4" s="1"/>
  <c r="T120" i="4"/>
  <c r="P121" i="4" s="1"/>
  <c r="Q121" i="4" s="1"/>
  <c r="U121" i="4" l="1"/>
  <c r="S121" i="4"/>
  <c r="Y121" i="4" s="1"/>
  <c r="Z121" i="4" s="1"/>
  <c r="AD121" i="4" s="1"/>
  <c r="W121" i="4" l="1"/>
  <c r="V122" i="4"/>
  <c r="AF122" i="4" s="1"/>
  <c r="AB121" i="4" l="1"/>
  <c r="AC121" i="4" s="1"/>
  <c r="AG121" i="4" s="1"/>
  <c r="T121" i="4"/>
  <c r="P122" i="4" s="1"/>
  <c r="Q122" i="4" s="1"/>
  <c r="S122" i="4" l="1"/>
  <c r="Y122" i="4" s="1"/>
  <c r="Z122" i="4" s="1"/>
  <c r="AD122" i="4" s="1"/>
  <c r="U122" i="4"/>
  <c r="V123" i="4" l="1"/>
  <c r="AF123" i="4" s="1"/>
  <c r="W122" i="4"/>
  <c r="T122" i="4" l="1"/>
  <c r="P123" i="4" s="1"/>
  <c r="Q123" i="4" s="1"/>
  <c r="AB122" i="4"/>
  <c r="AC122" i="4" s="1"/>
  <c r="AG122" i="4" s="1"/>
  <c r="S123" i="4" l="1"/>
  <c r="Y123" i="4" s="1"/>
  <c r="Z123" i="4" s="1"/>
  <c r="AD123" i="4" s="1"/>
  <c r="U123" i="4"/>
  <c r="V124" i="4" l="1"/>
  <c r="AF124" i="4" s="1"/>
  <c r="W123" i="4"/>
  <c r="AB123" i="4" l="1"/>
  <c r="AC123" i="4" s="1"/>
  <c r="AG123" i="4" s="1"/>
  <c r="T123" i="4"/>
  <c r="P124" i="4" s="1"/>
  <c r="Q124" i="4" s="1"/>
  <c r="U124" i="4" l="1"/>
  <c r="S124" i="4"/>
  <c r="Y124" i="4" s="1"/>
  <c r="Z124" i="4" s="1"/>
  <c r="AD124" i="4" s="1"/>
  <c r="W124" i="4" l="1"/>
  <c r="V125" i="4"/>
  <c r="AF125" i="4" s="1"/>
  <c r="AB124" i="4" l="1"/>
  <c r="AC124" i="4" s="1"/>
  <c r="AG124" i="4" s="1"/>
  <c r="T124" i="4"/>
  <c r="P125" i="4" s="1"/>
  <c r="Q125" i="4" s="1"/>
  <c r="S125" i="4" l="1"/>
  <c r="Y125" i="4" s="1"/>
  <c r="Z125" i="4" s="1"/>
  <c r="AD125" i="4" s="1"/>
  <c r="U125" i="4"/>
  <c r="W125" i="4" l="1"/>
  <c r="V126" i="4"/>
  <c r="AF126" i="4" s="1"/>
  <c r="AB125" i="4" l="1"/>
  <c r="AC125" i="4" s="1"/>
  <c r="AG125" i="4" s="1"/>
  <c r="T125" i="4"/>
  <c r="P126" i="4" s="1"/>
  <c r="Q126" i="4" s="1"/>
  <c r="U126" i="4" l="1"/>
  <c r="S126" i="4"/>
  <c r="Y126" i="4" s="1"/>
  <c r="Z126" i="4" s="1"/>
  <c r="AD126" i="4" s="1"/>
  <c r="W126" i="4" l="1"/>
  <c r="V127" i="4"/>
  <c r="AF127" i="4" s="1"/>
  <c r="AB126" i="4" l="1"/>
  <c r="AC126" i="4" s="1"/>
  <c r="AG126" i="4" s="1"/>
  <c r="T126" i="4"/>
  <c r="P127" i="4" s="1"/>
  <c r="Q127" i="4" s="1"/>
  <c r="U127" i="4" l="1"/>
  <c r="S127" i="4"/>
  <c r="Y127" i="4" s="1"/>
  <c r="Z127" i="4" s="1"/>
  <c r="AD127" i="4" s="1"/>
  <c r="W127" i="4" l="1"/>
  <c r="V128" i="4"/>
  <c r="AF128" i="4" s="1"/>
  <c r="AB127" i="4" l="1"/>
  <c r="AC127" i="4" s="1"/>
  <c r="AG127" i="4" s="1"/>
  <c r="T127" i="4"/>
  <c r="P128" i="4" s="1"/>
  <c r="Q128" i="4" s="1"/>
  <c r="U128" i="4" l="1"/>
  <c r="S128" i="4"/>
  <c r="Y128" i="4" s="1"/>
  <c r="Z128" i="4" s="1"/>
  <c r="AD128" i="4" s="1"/>
  <c r="W128" i="4" l="1"/>
  <c r="V129" i="4"/>
  <c r="AF129" i="4" s="1"/>
  <c r="AB128" i="4" l="1"/>
  <c r="AC128" i="4" s="1"/>
  <c r="AG128" i="4" s="1"/>
  <c r="T128" i="4"/>
  <c r="P129" i="4" s="1"/>
  <c r="Q129" i="4" s="1"/>
  <c r="S129" i="4" l="1"/>
  <c r="Y129" i="4" s="1"/>
  <c r="Z129" i="4" s="1"/>
  <c r="AD129" i="4" s="1"/>
  <c r="U129" i="4"/>
  <c r="W129" i="4" l="1"/>
  <c r="V130" i="4"/>
  <c r="AF130" i="4" s="1"/>
  <c r="T129" i="4" l="1"/>
  <c r="P130" i="4" s="1"/>
  <c r="Q130" i="4" s="1"/>
  <c r="AB129" i="4"/>
  <c r="AC129" i="4" s="1"/>
  <c r="AG129" i="4" s="1"/>
  <c r="U130" i="4" l="1"/>
  <c r="S130" i="4"/>
  <c r="Y130" i="4" s="1"/>
  <c r="Z130" i="4" s="1"/>
  <c r="AD130" i="4" s="1"/>
  <c r="W130" i="4" l="1"/>
  <c r="V131" i="4"/>
  <c r="AF131" i="4" s="1"/>
  <c r="T130" i="4" l="1"/>
  <c r="P131" i="4" s="1"/>
  <c r="Q131" i="4" s="1"/>
  <c r="AB130" i="4"/>
  <c r="AC130" i="4" s="1"/>
  <c r="AG130" i="4" s="1"/>
  <c r="S131" i="4" l="1"/>
  <c r="Y131" i="4" s="1"/>
  <c r="Z131" i="4" s="1"/>
  <c r="AD131" i="4" s="1"/>
  <c r="U131" i="4"/>
  <c r="W131" i="4" l="1"/>
  <c r="V132" i="4"/>
  <c r="AF132" i="4" s="1"/>
  <c r="T131" i="4" l="1"/>
  <c r="P132" i="4" s="1"/>
  <c r="Q132" i="4" s="1"/>
  <c r="AB131" i="4"/>
  <c r="AC131" i="4" s="1"/>
  <c r="AG131" i="4" s="1"/>
  <c r="S132" i="4" l="1"/>
  <c r="Y132" i="4" s="1"/>
  <c r="Z132" i="4" s="1"/>
  <c r="AD132" i="4" s="1"/>
  <c r="U132" i="4"/>
  <c r="V133" i="4" l="1"/>
  <c r="AF133" i="4" s="1"/>
  <c r="W132" i="4"/>
  <c r="T132" i="4" l="1"/>
  <c r="P133" i="4" s="1"/>
  <c r="Q133" i="4" s="1"/>
  <c r="AB132" i="4"/>
  <c r="AC132" i="4" s="1"/>
  <c r="AG132" i="4" s="1"/>
  <c r="S133" i="4" l="1"/>
  <c r="Y133" i="4" s="1"/>
  <c r="Z133" i="4" s="1"/>
  <c r="AD133" i="4" s="1"/>
  <c r="U133" i="4"/>
  <c r="W133" i="4" l="1"/>
  <c r="V134" i="4"/>
  <c r="AF134" i="4" s="1"/>
  <c r="T133" i="4" l="1"/>
  <c r="P134" i="4" s="1"/>
  <c r="Q134" i="4" s="1"/>
  <c r="AB133" i="4"/>
  <c r="AC133" i="4" s="1"/>
  <c r="AG133" i="4" s="1"/>
  <c r="U134" i="4" l="1"/>
  <c r="S134" i="4"/>
  <c r="Y134" i="4" s="1"/>
  <c r="Z134" i="4" s="1"/>
  <c r="AD134" i="4" s="1"/>
  <c r="V135" i="4" l="1"/>
  <c r="AF135" i="4" s="1"/>
  <c r="W134" i="4"/>
  <c r="T134" i="4" l="1"/>
  <c r="P135" i="4" s="1"/>
  <c r="Q135" i="4" s="1"/>
  <c r="AB134" i="4"/>
  <c r="AC134" i="4" s="1"/>
  <c r="AG134" i="4" s="1"/>
  <c r="S135" i="4" l="1"/>
  <c r="Y135" i="4" s="1"/>
  <c r="Z135" i="4" s="1"/>
  <c r="AD135" i="4" s="1"/>
  <c r="U135" i="4"/>
  <c r="W135" i="4" l="1"/>
  <c r="V136" i="4"/>
  <c r="AF136" i="4" s="1"/>
  <c r="AB135" i="4" l="1"/>
  <c r="AC135" i="4" s="1"/>
  <c r="AG135" i="4" s="1"/>
  <c r="T135" i="4"/>
  <c r="P136" i="4" s="1"/>
  <c r="Q136" i="4" s="1"/>
  <c r="U136" i="4" l="1"/>
  <c r="S136" i="4"/>
  <c r="Y136" i="4" s="1"/>
  <c r="Z136" i="4" s="1"/>
  <c r="AD136" i="4" s="1"/>
  <c r="V137" i="4" l="1"/>
  <c r="AF137" i="4" s="1"/>
  <c r="W136" i="4"/>
  <c r="AB136" i="4" l="1"/>
  <c r="AC136" i="4" s="1"/>
  <c r="AG136" i="4" s="1"/>
  <c r="T136" i="4"/>
  <c r="P137" i="4" s="1"/>
  <c r="Q137" i="4" s="1"/>
  <c r="U137" i="4" l="1"/>
  <c r="S137" i="4"/>
  <c r="Y137" i="4" s="1"/>
  <c r="Z137" i="4" s="1"/>
  <c r="AD137" i="4" s="1"/>
  <c r="W137" i="4" l="1"/>
  <c r="V138" i="4"/>
  <c r="AF138" i="4" s="1"/>
  <c r="T137" i="4" l="1"/>
  <c r="P138" i="4" s="1"/>
  <c r="Q138" i="4" s="1"/>
  <c r="AB137" i="4"/>
  <c r="AC137" i="4" s="1"/>
  <c r="AG137" i="4" s="1"/>
  <c r="U138" i="4" l="1"/>
  <c r="S138" i="4"/>
  <c r="Y138" i="4" s="1"/>
  <c r="Z138" i="4" s="1"/>
  <c r="AD138" i="4" s="1"/>
  <c r="V139" i="4" l="1"/>
  <c r="AF139" i="4" s="1"/>
  <c r="W138" i="4"/>
  <c r="AB138" i="4" l="1"/>
  <c r="AC138" i="4" s="1"/>
  <c r="AG138" i="4" s="1"/>
  <c r="T138" i="4"/>
  <c r="P139" i="4" s="1"/>
  <c r="Q139" i="4" s="1"/>
  <c r="S139" i="4" l="1"/>
  <c r="Y139" i="4" s="1"/>
  <c r="Z139" i="4" s="1"/>
  <c r="AD139" i="4" s="1"/>
  <c r="U139" i="4"/>
  <c r="W139" i="4" l="1"/>
  <c r="V140" i="4"/>
  <c r="AF140" i="4" s="1"/>
  <c r="AB139" i="4" l="1"/>
  <c r="AC139" i="4" s="1"/>
  <c r="AG139" i="4" s="1"/>
  <c r="T139" i="4"/>
  <c r="P140" i="4" s="1"/>
  <c r="Q140" i="4" s="1"/>
  <c r="U140" i="4" l="1"/>
  <c r="S140" i="4"/>
  <c r="Y140" i="4" s="1"/>
  <c r="Z140" i="4" s="1"/>
  <c r="AD140" i="4" s="1"/>
  <c r="W140" i="4" l="1"/>
  <c r="V141" i="4"/>
  <c r="AF141" i="4" s="1"/>
  <c r="AB140" i="4" l="1"/>
  <c r="AC140" i="4" s="1"/>
  <c r="AG140" i="4" s="1"/>
  <c r="T140" i="4"/>
  <c r="P141" i="4" s="1"/>
  <c r="Q141" i="4" s="1"/>
  <c r="U141" i="4" l="1"/>
  <c r="S141" i="4"/>
  <c r="Y141" i="4" s="1"/>
  <c r="Z141" i="4" s="1"/>
  <c r="AD141" i="4" s="1"/>
  <c r="W141" i="4" l="1"/>
  <c r="V142" i="4"/>
  <c r="AF142" i="4" s="1"/>
  <c r="AB141" i="4" l="1"/>
  <c r="AC141" i="4" s="1"/>
  <c r="AG141" i="4" s="1"/>
  <c r="T141" i="4"/>
  <c r="P142" i="4" s="1"/>
  <c r="Q142" i="4" s="1"/>
  <c r="S142" i="4" l="1"/>
  <c r="Y142" i="4" s="1"/>
  <c r="Z142" i="4" s="1"/>
  <c r="AD142" i="4" s="1"/>
  <c r="U142" i="4"/>
  <c r="W142" i="4" l="1"/>
  <c r="V143" i="4"/>
  <c r="AF143" i="4" s="1"/>
  <c r="AB142" i="4" l="1"/>
  <c r="AC142" i="4" s="1"/>
  <c r="AG142" i="4" s="1"/>
  <c r="T142" i="4"/>
  <c r="P143" i="4" s="1"/>
  <c r="Q143" i="4" s="1"/>
  <c r="S143" i="4" l="1"/>
  <c r="Y143" i="4" s="1"/>
  <c r="Z143" i="4" s="1"/>
  <c r="AD143" i="4" s="1"/>
  <c r="U143" i="4"/>
  <c r="W143" i="4" l="1"/>
  <c r="V144" i="4"/>
  <c r="AF144" i="4" s="1"/>
  <c r="AB143" i="4" l="1"/>
  <c r="AC143" i="4" s="1"/>
  <c r="AG143" i="4" s="1"/>
  <c r="T143" i="4"/>
  <c r="P144" i="4" s="1"/>
  <c r="Q144" i="4" s="1"/>
  <c r="S144" i="4" l="1"/>
  <c r="Y144" i="4" s="1"/>
  <c r="Z144" i="4" s="1"/>
  <c r="AD144" i="4" s="1"/>
  <c r="U144" i="4"/>
  <c r="W144" i="4" l="1"/>
  <c r="V145" i="4"/>
  <c r="AF145" i="4" s="1"/>
  <c r="AB144" i="4" l="1"/>
  <c r="AC144" i="4" s="1"/>
  <c r="AG144" i="4" s="1"/>
  <c r="T144" i="4"/>
  <c r="P145" i="4" s="1"/>
  <c r="Q145" i="4" s="1"/>
  <c r="U145" i="4" l="1"/>
  <c r="S145" i="4"/>
  <c r="Y145" i="4" s="1"/>
  <c r="Z145" i="4" s="1"/>
  <c r="AD145" i="4" s="1"/>
  <c r="V146" i="4" l="1"/>
  <c r="AF146" i="4" s="1"/>
  <c r="W145" i="4"/>
  <c r="T145" i="4" l="1"/>
  <c r="P146" i="4" s="1"/>
  <c r="Q146" i="4" s="1"/>
  <c r="AB145" i="4"/>
  <c r="AC145" i="4" s="1"/>
  <c r="AG145" i="4" s="1"/>
  <c r="S146" i="4" l="1"/>
  <c r="Y146" i="4" s="1"/>
  <c r="Z146" i="4" s="1"/>
  <c r="AD146" i="4" s="1"/>
  <c r="U146" i="4"/>
  <c r="V147" i="4" l="1"/>
  <c r="AF147" i="4" s="1"/>
  <c r="W146" i="4"/>
  <c r="T146" i="4" l="1"/>
  <c r="P147" i="4" s="1"/>
  <c r="Q147" i="4" s="1"/>
  <c r="AB146" i="4"/>
  <c r="AC146" i="4" s="1"/>
  <c r="AG146" i="4" s="1"/>
  <c r="S147" i="4" l="1"/>
  <c r="Y147" i="4" s="1"/>
  <c r="Z147" i="4" s="1"/>
  <c r="AD147" i="4" s="1"/>
  <c r="U147" i="4"/>
  <c r="V148" i="4" l="1"/>
  <c r="AF148" i="4" s="1"/>
  <c r="W147" i="4"/>
  <c r="T147" i="4" l="1"/>
  <c r="P148" i="4" s="1"/>
  <c r="Q148" i="4" s="1"/>
  <c r="AB147" i="4"/>
  <c r="AC147" i="4" s="1"/>
  <c r="AG147" i="4" s="1"/>
  <c r="S148" i="4" l="1"/>
  <c r="Y148" i="4" s="1"/>
  <c r="Z148" i="4" s="1"/>
  <c r="AD148" i="4" s="1"/>
  <c r="U148" i="4"/>
  <c r="V149" i="4" l="1"/>
  <c r="AF149" i="4" s="1"/>
  <c r="W148" i="4"/>
  <c r="T148" i="4" l="1"/>
  <c r="P149" i="4" s="1"/>
  <c r="Q149" i="4" s="1"/>
  <c r="AB148" i="4"/>
  <c r="AC148" i="4" s="1"/>
  <c r="AG148" i="4" s="1"/>
  <c r="S149" i="4" l="1"/>
  <c r="Y149" i="4" s="1"/>
  <c r="Z149" i="4" s="1"/>
  <c r="AD149" i="4" s="1"/>
  <c r="U149" i="4"/>
  <c r="V150" i="4" l="1"/>
  <c r="AF150" i="4" s="1"/>
  <c r="W149" i="4"/>
  <c r="T149" i="4" l="1"/>
  <c r="P150" i="4" s="1"/>
  <c r="Q150" i="4" s="1"/>
  <c r="AB149" i="4"/>
  <c r="AC149" i="4" s="1"/>
  <c r="AG149" i="4" s="1"/>
  <c r="S150" i="4" l="1"/>
  <c r="Y150" i="4" s="1"/>
  <c r="Z150" i="4" s="1"/>
  <c r="AD150" i="4" s="1"/>
  <c r="U150" i="4"/>
  <c r="V151" i="4" l="1"/>
  <c r="AF151" i="4" s="1"/>
  <c r="W150" i="4"/>
  <c r="T150" i="4" l="1"/>
  <c r="P151" i="4" s="1"/>
  <c r="Q151" i="4" s="1"/>
  <c r="AB150" i="4"/>
  <c r="AC150" i="4" s="1"/>
  <c r="AG150" i="4" s="1"/>
  <c r="S151" i="4" l="1"/>
  <c r="Y151" i="4" s="1"/>
  <c r="Z151" i="4" s="1"/>
  <c r="AD151" i="4" s="1"/>
  <c r="U151" i="4"/>
  <c r="W151" i="4" l="1"/>
  <c r="V152" i="4"/>
  <c r="AF152" i="4" s="1"/>
  <c r="T151" i="4" l="1"/>
  <c r="P152" i="4" s="1"/>
  <c r="Q152" i="4" s="1"/>
  <c r="AB151" i="4"/>
  <c r="AC151" i="4" s="1"/>
  <c r="AG151" i="4" s="1"/>
  <c r="S152" i="4" l="1"/>
  <c r="Y152" i="4" s="1"/>
  <c r="Z152" i="4" s="1"/>
  <c r="AD152" i="4" s="1"/>
  <c r="U152" i="4"/>
  <c r="V153" i="4" l="1"/>
  <c r="AF153" i="4" s="1"/>
  <c r="W152" i="4"/>
  <c r="T152" i="4" l="1"/>
  <c r="P153" i="4" s="1"/>
  <c r="Q153" i="4" s="1"/>
  <c r="AB152" i="4"/>
  <c r="AC152" i="4" s="1"/>
  <c r="AG152" i="4" s="1"/>
  <c r="S153" i="4" l="1"/>
  <c r="Y153" i="4" s="1"/>
  <c r="Z153" i="4" s="1"/>
  <c r="AD153" i="4" s="1"/>
  <c r="U153" i="4"/>
  <c r="W153" i="4" l="1"/>
  <c r="V154" i="4"/>
  <c r="AF154" i="4" s="1"/>
  <c r="T153" i="4" l="1"/>
  <c r="P154" i="4" s="1"/>
  <c r="Q154" i="4" s="1"/>
  <c r="AB153" i="4"/>
  <c r="AC153" i="4" s="1"/>
  <c r="AG153" i="4" s="1"/>
  <c r="U154" i="4" l="1"/>
  <c r="S154" i="4"/>
  <c r="Y154" i="4" s="1"/>
  <c r="Z154" i="4" s="1"/>
  <c r="AD154" i="4" s="1"/>
  <c r="W154" i="4" l="1"/>
  <c r="V155" i="4"/>
  <c r="AF155" i="4" s="1"/>
  <c r="T154" i="4" l="1"/>
  <c r="P155" i="4" s="1"/>
  <c r="Q155" i="4" s="1"/>
  <c r="AB154" i="4"/>
  <c r="AC154" i="4" s="1"/>
  <c r="AG154" i="4" s="1"/>
  <c r="U155" i="4" l="1"/>
  <c r="S155" i="4"/>
  <c r="Y155" i="4" s="1"/>
  <c r="Z155" i="4" s="1"/>
  <c r="AD155" i="4" s="1"/>
  <c r="W155" i="4" l="1"/>
  <c r="V156" i="4"/>
  <c r="AF156" i="4" s="1"/>
  <c r="AB155" i="4" l="1"/>
  <c r="AC155" i="4" s="1"/>
  <c r="AG155" i="4" s="1"/>
  <c r="T155" i="4"/>
  <c r="P156" i="4" s="1"/>
  <c r="Q156" i="4" s="1"/>
  <c r="U156" i="4" l="1"/>
  <c r="S156" i="4"/>
  <c r="Y156" i="4" s="1"/>
  <c r="Z156" i="4" s="1"/>
  <c r="AD156" i="4" s="1"/>
  <c r="W156" i="4" l="1"/>
  <c r="V157" i="4"/>
  <c r="AF157" i="4" s="1"/>
  <c r="AB156" i="4" l="1"/>
  <c r="AC156" i="4" s="1"/>
  <c r="AG156" i="4" s="1"/>
  <c r="T156" i="4"/>
  <c r="P157" i="4" s="1"/>
  <c r="Q157" i="4" s="1"/>
  <c r="U157" i="4" l="1"/>
  <c r="S157" i="4"/>
  <c r="Y157" i="4" s="1"/>
  <c r="Z157" i="4" s="1"/>
  <c r="AD157" i="4" s="1"/>
  <c r="W157" i="4" l="1"/>
  <c r="V158" i="4"/>
  <c r="AF158" i="4" s="1"/>
  <c r="AB157" i="4" l="1"/>
  <c r="AC157" i="4" s="1"/>
  <c r="AG157" i="4" s="1"/>
  <c r="T157" i="4"/>
  <c r="P158" i="4" s="1"/>
  <c r="Q158" i="4" s="1"/>
  <c r="S158" i="4" l="1"/>
  <c r="Y158" i="4" s="1"/>
  <c r="Z158" i="4" s="1"/>
  <c r="AD158" i="4" s="1"/>
  <c r="U158" i="4"/>
  <c r="V159" i="4" l="1"/>
  <c r="AF159" i="4" s="1"/>
  <c r="W158" i="4"/>
  <c r="AB158" i="4" l="1"/>
  <c r="AC158" i="4" s="1"/>
  <c r="AG158" i="4" s="1"/>
  <c r="T158" i="4"/>
  <c r="P159" i="4" s="1"/>
  <c r="Q159" i="4" s="1"/>
  <c r="S159" i="4" l="1"/>
  <c r="Y159" i="4" s="1"/>
  <c r="Z159" i="4" s="1"/>
  <c r="AD159" i="4" s="1"/>
  <c r="U159" i="4"/>
  <c r="V160" i="4" l="1"/>
  <c r="AF160" i="4" s="1"/>
  <c r="W159" i="4"/>
  <c r="AB159" i="4" l="1"/>
  <c r="AC159" i="4" s="1"/>
  <c r="AG159" i="4" s="1"/>
  <c r="T159" i="4"/>
  <c r="P160" i="4" s="1"/>
  <c r="Q160" i="4" s="1"/>
  <c r="S160" i="4" l="1"/>
  <c r="Y160" i="4" s="1"/>
  <c r="Z160" i="4" s="1"/>
  <c r="AD160" i="4" s="1"/>
  <c r="U160" i="4"/>
  <c r="V161" i="4" l="1"/>
  <c r="AF161" i="4" s="1"/>
  <c r="W160" i="4"/>
  <c r="AB160" i="4" l="1"/>
  <c r="AC160" i="4" s="1"/>
  <c r="AG160" i="4" s="1"/>
  <c r="T160" i="4"/>
  <c r="P161" i="4" s="1"/>
  <c r="Q161" i="4" s="1"/>
  <c r="S161" i="4" l="1"/>
  <c r="Y161" i="4" s="1"/>
  <c r="Z161" i="4" s="1"/>
  <c r="AD161" i="4" s="1"/>
  <c r="U161" i="4"/>
  <c r="V162" i="4" l="1"/>
  <c r="AF162" i="4" s="1"/>
  <c r="W161" i="4"/>
  <c r="T161" i="4" l="1"/>
  <c r="P162" i="4" s="1"/>
  <c r="Q162" i="4" s="1"/>
  <c r="AB161" i="4"/>
  <c r="AC161" i="4" s="1"/>
  <c r="AG161" i="4" s="1"/>
  <c r="U162" i="4" l="1"/>
  <c r="S162" i="4"/>
  <c r="Y162" i="4" s="1"/>
  <c r="Z162" i="4" s="1"/>
  <c r="AD162" i="4" s="1"/>
  <c r="V163" i="4" l="1"/>
  <c r="AF163" i="4" s="1"/>
  <c r="W162" i="4"/>
  <c r="T162" i="4" l="1"/>
  <c r="P163" i="4" s="1"/>
  <c r="Q163" i="4" s="1"/>
  <c r="AB162" i="4"/>
  <c r="AC162" i="4" s="1"/>
  <c r="AG162" i="4" s="1"/>
  <c r="U163" i="4" l="1"/>
  <c r="S163" i="4"/>
  <c r="Y163" i="4" s="1"/>
  <c r="Z163" i="4" s="1"/>
  <c r="AD163" i="4" s="1"/>
  <c r="W163" i="4" l="1"/>
  <c r="V164" i="4"/>
  <c r="AF164" i="4" s="1"/>
  <c r="T163" i="4" l="1"/>
  <c r="P164" i="4" s="1"/>
  <c r="Q164" i="4" s="1"/>
  <c r="AB163" i="4"/>
  <c r="AC163" i="4" s="1"/>
  <c r="AG163" i="4" s="1"/>
  <c r="S164" i="4" l="1"/>
  <c r="Y164" i="4" s="1"/>
  <c r="Z164" i="4" s="1"/>
  <c r="AD164" i="4" s="1"/>
  <c r="U164" i="4"/>
  <c r="W164" i="4" l="1"/>
  <c r="V165" i="4"/>
  <c r="AF165" i="4" s="1"/>
  <c r="AB164" i="4" l="1"/>
  <c r="AC164" i="4" s="1"/>
  <c r="AG164" i="4" s="1"/>
  <c r="T164" i="4"/>
  <c r="P165" i="4" s="1"/>
  <c r="Q165" i="4" s="1"/>
  <c r="U165" i="4" l="1"/>
  <c r="S165" i="4"/>
  <c r="Y165" i="4" s="1"/>
  <c r="Z165" i="4" s="1"/>
  <c r="AD165" i="4" s="1"/>
  <c r="V166" i="4" l="1"/>
  <c r="AF166" i="4" s="1"/>
  <c r="W165" i="4"/>
  <c r="AB165" i="4" l="1"/>
  <c r="AC165" i="4" s="1"/>
  <c r="AG165" i="4" s="1"/>
  <c r="T165" i="4"/>
  <c r="P166" i="4" s="1"/>
  <c r="Q166" i="4" s="1"/>
  <c r="U166" i="4" l="1"/>
  <c r="S166" i="4"/>
  <c r="Y166" i="4" s="1"/>
  <c r="Z166" i="4" s="1"/>
  <c r="AD166" i="4" s="1"/>
  <c r="W166" i="4" l="1"/>
  <c r="V167" i="4"/>
  <c r="AF167" i="4" s="1"/>
  <c r="AB166" i="4" l="1"/>
  <c r="AC166" i="4" s="1"/>
  <c r="AG166" i="4" s="1"/>
  <c r="T166" i="4"/>
  <c r="P167" i="4" s="1"/>
  <c r="Q167" i="4" s="1"/>
  <c r="U167" i="4" l="1"/>
  <c r="S167" i="4"/>
  <c r="Y167" i="4" s="1"/>
  <c r="Z167" i="4" s="1"/>
  <c r="AD167" i="4" s="1"/>
  <c r="W167" i="4" l="1"/>
  <c r="V168" i="4"/>
  <c r="AF168" i="4" s="1"/>
  <c r="AB167" i="4" l="1"/>
  <c r="AC167" i="4" s="1"/>
  <c r="AG167" i="4" s="1"/>
  <c r="T167" i="4"/>
  <c r="P168" i="4" s="1"/>
  <c r="Q168" i="4" s="1"/>
  <c r="U168" i="4" l="1"/>
  <c r="S168" i="4"/>
  <c r="Y168" i="4" s="1"/>
  <c r="Z168" i="4" s="1"/>
  <c r="AD168" i="4" s="1"/>
  <c r="W168" i="4" l="1"/>
  <c r="V169" i="4"/>
  <c r="AF169" i="4" s="1"/>
  <c r="AB168" i="4" l="1"/>
  <c r="AC168" i="4" s="1"/>
  <c r="AG168" i="4" s="1"/>
  <c r="T168" i="4"/>
  <c r="P169" i="4" s="1"/>
  <c r="Q169" i="4" s="1"/>
  <c r="S169" i="4" l="1"/>
  <c r="Y169" i="4" s="1"/>
  <c r="Z169" i="4" s="1"/>
  <c r="AD169" i="4" s="1"/>
  <c r="U169" i="4"/>
  <c r="W169" i="4" l="1"/>
  <c r="V170" i="4"/>
  <c r="AF170" i="4" s="1"/>
  <c r="AB169" i="4" l="1"/>
  <c r="AC169" i="4" s="1"/>
  <c r="AG169" i="4" s="1"/>
  <c r="T169" i="4"/>
  <c r="P170" i="4" s="1"/>
  <c r="Q170" i="4" s="1"/>
  <c r="S170" i="4" l="1"/>
  <c r="Y170" i="4" s="1"/>
  <c r="Z170" i="4" s="1"/>
  <c r="AD170" i="4" s="1"/>
  <c r="U170" i="4"/>
  <c r="W170" i="4" l="1"/>
  <c r="V171" i="4"/>
  <c r="AF171" i="4" s="1"/>
  <c r="AB170" i="4" l="1"/>
  <c r="AC170" i="4" s="1"/>
  <c r="AG170" i="4" s="1"/>
  <c r="T170" i="4"/>
  <c r="P171" i="4" s="1"/>
  <c r="Q171" i="4" s="1"/>
  <c r="S171" i="4" l="1"/>
  <c r="Y171" i="4" s="1"/>
  <c r="Z171" i="4" s="1"/>
  <c r="AD171" i="4" s="1"/>
  <c r="U171" i="4"/>
  <c r="W171" i="4" l="1"/>
  <c r="V172" i="4"/>
  <c r="AF172" i="4" s="1"/>
  <c r="AB171" i="4" l="1"/>
  <c r="AC171" i="4" s="1"/>
  <c r="AG171" i="4" s="1"/>
  <c r="T171" i="4"/>
  <c r="P172" i="4" s="1"/>
  <c r="Q172" i="4" s="1"/>
  <c r="S172" i="4" l="1"/>
  <c r="Y172" i="4" s="1"/>
  <c r="Z172" i="4" s="1"/>
  <c r="AD172" i="4" s="1"/>
  <c r="U172" i="4"/>
  <c r="W172" i="4" l="1"/>
  <c r="V173" i="4"/>
  <c r="AF173" i="4" s="1"/>
  <c r="AB172" i="4" l="1"/>
  <c r="AC172" i="4" s="1"/>
  <c r="AG172" i="4" s="1"/>
  <c r="T172" i="4"/>
  <c r="P173" i="4" s="1"/>
  <c r="Q173" i="4" s="1"/>
  <c r="S173" i="4" l="1"/>
  <c r="Y173" i="4" s="1"/>
  <c r="Z173" i="4" s="1"/>
  <c r="AD173" i="4" s="1"/>
  <c r="U173" i="4"/>
  <c r="W173" i="4" l="1"/>
  <c r="V174" i="4"/>
  <c r="AF174" i="4" s="1"/>
  <c r="T173" i="4" l="1"/>
  <c r="P174" i="4" s="1"/>
  <c r="Q174" i="4" s="1"/>
  <c r="AB173" i="4"/>
  <c r="AC173" i="4" s="1"/>
  <c r="AG173" i="4" s="1"/>
  <c r="U174" i="4" l="1"/>
  <c r="S174" i="4"/>
  <c r="Y174" i="4" s="1"/>
  <c r="Z174" i="4" s="1"/>
  <c r="AD174" i="4" s="1"/>
  <c r="V175" i="4" l="1"/>
  <c r="AF175" i="4" s="1"/>
  <c r="W174" i="4"/>
  <c r="AB174" i="4" l="1"/>
  <c r="AC174" i="4" s="1"/>
  <c r="AG174" i="4" s="1"/>
  <c r="T174" i="4"/>
  <c r="P175" i="4" s="1"/>
  <c r="Q175" i="4" s="1"/>
  <c r="U175" i="4" l="1"/>
  <c r="S175" i="4"/>
  <c r="Y175" i="4" s="1"/>
  <c r="Z175" i="4" s="1"/>
  <c r="AD175" i="4" s="1"/>
  <c r="W175" i="4" l="1"/>
  <c r="V176" i="4"/>
  <c r="AF176" i="4" s="1"/>
  <c r="T175" i="4" l="1"/>
  <c r="P176" i="4" s="1"/>
  <c r="Q176" i="4" s="1"/>
  <c r="AB175" i="4"/>
  <c r="AC175" i="4" s="1"/>
  <c r="AG175" i="4" s="1"/>
  <c r="S176" i="4" l="1"/>
  <c r="Y176" i="4" s="1"/>
  <c r="Z176" i="4" s="1"/>
  <c r="AD176" i="4" s="1"/>
  <c r="U176" i="4"/>
  <c r="V177" i="4" l="1"/>
  <c r="AF177" i="4" s="1"/>
  <c r="W176" i="4"/>
  <c r="AB176" i="4" l="1"/>
  <c r="AC176" i="4" s="1"/>
  <c r="AG176" i="4" s="1"/>
  <c r="T176" i="4"/>
  <c r="P177" i="4" s="1"/>
  <c r="Q177" i="4" s="1"/>
  <c r="S177" i="4" l="1"/>
  <c r="Y177" i="4" s="1"/>
  <c r="Z177" i="4" s="1"/>
  <c r="U177" i="4"/>
  <c r="AD177" i="4" l="1"/>
  <c r="W177" i="4"/>
  <c r="V178" i="4"/>
  <c r="AF178" i="4" s="1"/>
  <c r="AB177" i="4" l="1"/>
  <c r="AC177" i="4" s="1"/>
  <c r="T177" i="4"/>
  <c r="P178" i="4" s="1"/>
  <c r="Q178" i="4" s="1"/>
  <c r="U178" i="4" l="1"/>
  <c r="S178" i="4"/>
  <c r="Y178" i="4" s="1"/>
  <c r="Z178" i="4" s="1"/>
  <c r="AG177" i="4"/>
  <c r="AD178" i="4" l="1"/>
  <c r="W178" i="4"/>
  <c r="V179" i="4"/>
  <c r="AF179" i="4" s="1"/>
  <c r="AB178" i="4" l="1"/>
  <c r="AC178" i="4" s="1"/>
  <c r="T178" i="4"/>
  <c r="P179" i="4" s="1"/>
  <c r="Q179" i="4" s="1"/>
  <c r="S179" i="4" l="1"/>
  <c r="Y179" i="4" s="1"/>
  <c r="Z179" i="4" s="1"/>
  <c r="U179" i="4"/>
  <c r="AG178" i="4"/>
  <c r="W179" i="4" l="1"/>
  <c r="V180" i="4"/>
  <c r="AF180" i="4" s="1"/>
  <c r="AD179" i="4"/>
  <c r="AB179" i="4" l="1"/>
  <c r="AC179" i="4" s="1"/>
  <c r="T179" i="4"/>
  <c r="P180" i="4" s="1"/>
  <c r="Q180" i="4" s="1"/>
  <c r="U180" i="4" l="1"/>
  <c r="S180" i="4"/>
  <c r="Y180" i="4" s="1"/>
  <c r="Z180" i="4" s="1"/>
  <c r="AG179" i="4"/>
  <c r="AD180" i="4" l="1"/>
  <c r="W180" i="4"/>
  <c r="V181" i="4"/>
  <c r="AF181" i="4" s="1"/>
  <c r="AF182" i="4" s="1"/>
  <c r="AB180" i="4" l="1"/>
  <c r="AC180" i="4" s="1"/>
  <c r="T180" i="4"/>
  <c r="P181" i="4" s="1"/>
  <c r="Q181" i="4" s="1"/>
  <c r="S181" i="4" l="1"/>
  <c r="Y181" i="4" s="1"/>
  <c r="Z181" i="4" s="1"/>
  <c r="U181" i="4"/>
  <c r="W181" i="4" s="1"/>
  <c r="AG180" i="4"/>
  <c r="AB181" i="4" l="1"/>
  <c r="AC181" i="4" s="1"/>
  <c r="T181" i="4"/>
  <c r="AD181" i="4"/>
  <c r="AD182" i="4" s="1"/>
  <c r="Z182" i="4"/>
  <c r="AG181" i="4" l="1"/>
  <c r="AG182" i="4" s="1"/>
  <c r="AG184" i="4" s="1"/>
  <c r="AC182" i="4"/>
  <c r="W193" i="4" l="1"/>
  <c r="W205" i="4"/>
</calcChain>
</file>

<file path=xl/sharedStrings.xml><?xml version="1.0" encoding="utf-8"?>
<sst xmlns="http://schemas.openxmlformats.org/spreadsheetml/2006/main" count="97" uniqueCount="65">
  <si>
    <t>Probability</t>
  </si>
  <si>
    <t>TOTAL</t>
  </si>
  <si>
    <t>Probabilitity</t>
  </si>
  <si>
    <t>TOTAL COST</t>
  </si>
  <si>
    <t xml:space="preserve">PROFIT </t>
  </si>
  <si>
    <t xml:space="preserve">Server Utilization Threshold
</t>
  </si>
  <si>
    <t>Per Server Setup Cost</t>
  </si>
  <si>
    <t>100-User Server Cost per Minute</t>
  </si>
  <si>
    <t>Server Capacity</t>
  </si>
  <si>
    <t>Initial Server Count</t>
  </si>
  <si>
    <t>Server Decommission Threshold</t>
  </si>
  <si>
    <t>Customer Churn Rate</t>
  </si>
  <si>
    <t>Customer Arrival Distribution per Minute - Frequency Table</t>
  </si>
  <si>
    <t>Frequency</t>
  </si>
  <si>
    <t>Lower Limit</t>
  </si>
  <si>
    <t>Upper Limit</t>
  </si>
  <si>
    <t>Number of Customer</t>
  </si>
  <si>
    <t>Server Utilization Rate</t>
  </si>
  <si>
    <t>Number of Servers</t>
  </si>
  <si>
    <t>Number of Customer Churn</t>
  </si>
  <si>
    <t>Random Number for Purchasing Customers</t>
  </si>
  <si>
    <t>Number for Purchasing Customers</t>
  </si>
  <si>
    <t>Income</t>
  </si>
  <si>
    <t>Number of Lost Customers with Purchase Likelihood</t>
  </si>
  <si>
    <t>Cost of Lost Customers</t>
  </si>
  <si>
    <t>Other Costs per Minute</t>
  </si>
  <si>
    <t>Other Costs</t>
  </si>
  <si>
    <t>Total Cost</t>
  </si>
  <si>
    <t>Server Cost</t>
  </si>
  <si>
    <t>Cost of Goods</t>
  </si>
  <si>
    <t>Cost of Basket</t>
  </si>
  <si>
    <t>Average Basket Value</t>
  </si>
  <si>
    <t>Total Cost of Basket</t>
  </si>
  <si>
    <t>Lost Revenue</t>
  </si>
  <si>
    <t>Minute</t>
  </si>
  <si>
    <t>Server Utilization Threshold</t>
  </si>
  <si>
    <t>Table 2</t>
  </si>
  <si>
    <t>Table 3</t>
  </si>
  <si>
    <t>Table 4</t>
  </si>
  <si>
    <t>Table 1: Customer Arrival Distribution per Minute - Frequency Table</t>
  </si>
  <si>
    <t>Total Cost of Server</t>
  </si>
  <si>
    <t>SpeedCommerce is an e-commerce website. Ali, who works as the Operations Manager on this site, tries to maximize the revenue during the Black Friday sale, which lasts only 3 hours every year. Based on the data obtained from previous years, the company has decided to move its server infrastructure to a cloud-based system.
The cloud provider has specified that the capacity of one server is 100 users. Therefore, as the number of servers increases, the total capacity also increases (for example, when 2 servers are used, the capacity becomes 200 users). However, when the server capacity exceeds a certain threshold, some customers leave the site without making a purchase. This results in potential revenue loss.
Moreover, using more servers leads to additional costs. The company aims to balance the server costs and the revenue losses from the customers who leave the site. The system automatically rents a new server when a certain capacity limit is reached and deactivates unused servers when demand decreases. Each server has a setup cost and a per-minute processing cost, and this information is provided in Table-4.
Ali has examined past data and collected the following information:
Number of incoming customers per minute,
Number of outgoing customers per minute,
The shopping rate of the outgoing customers.
The analysis shows that these data follow a uniform distribution. The relevant information is provided in Table-1, Table-2, Table-3, and Table-4.
Task:
Based on this data, determine the optimal number of servers (between 1 and 5) that will balance the server count and the rate of customers leaving the site.
Using the simulation method, determine the optimal number of servers by considering server costs, setup costs, and revenue losses caused by customers leaving.</t>
  </si>
  <si>
    <t>Table 2: Customer Leave Distribution Table per Minute</t>
  </si>
  <si>
    <t>Customer Leave Distribution from Site per Minute - Frequency Table</t>
  </si>
  <si>
    <t>Table 3: Probability of Purchase by Customers Leaving the Website per Minute</t>
  </si>
  <si>
    <t>Churn Rate Threshold</t>
  </si>
  <si>
    <t>Random Number for Purchase Probability of Leaving Customers</t>
  </si>
  <si>
    <t>Basket Cost Ratio</t>
  </si>
  <si>
    <t>TOTAL INCOME</t>
  </si>
  <si>
    <t>TOTAL OTHER COST</t>
  </si>
  <si>
    <t>Random Number for New Customers</t>
  </si>
  <si>
    <t>Number of New Customers</t>
  </si>
  <si>
    <t>Random Number for  Customers Leaving</t>
  </si>
  <si>
    <t>Number of Customerss at the End of the Minute</t>
  </si>
  <si>
    <t>Probabilitiy Get Buy Of Leaving Customer</t>
  </si>
  <si>
    <t xml:space="preserve">Purchase Probability of Leaving Customers
</t>
  </si>
  <si>
    <t>Churn Rate Thresold</t>
  </si>
  <si>
    <t>Table 1</t>
  </si>
  <si>
    <t>Remaining Customers from Previous Minute</t>
  </si>
  <si>
    <t>Total Number of Customers in That Minute</t>
  </si>
  <si>
    <t>Number of  Customers Leaving</t>
  </si>
  <si>
    <t>What If Data Table</t>
  </si>
  <si>
    <t xml:space="preserve">Simulation Modeling And Analysis </t>
  </si>
  <si>
    <t xml:space="preserve"> DENİZ YALÇIN </t>
  </si>
  <si>
    <t>PROBLEM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</si>
</sst>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Aptos Narrow"/>
      <family val="2"/>
      <charset val="162"/>
      <scheme val="minor"/>
    </font>
    <font>
      <sz val="11"/>
      <color theme="1"/>
      <name val="Aptos Narrow"/>
      <family val="2"/>
      <charset val="162"/>
      <scheme val="minor"/>
    </font>
    <font>
      <b/>
      <sz val="11"/>
      <color theme="1"/>
      <name val="Aptos Narrow"/>
      <family val="2"/>
      <scheme val="minor"/>
    </font>
    <font>
      <b/>
      <sz val="12"/>
      <color theme="1"/>
      <name val="Aptos Narrow"/>
      <family val="2"/>
      <scheme val="minor"/>
    </font>
    <font>
      <b/>
      <sz val="14"/>
      <color theme="1"/>
      <name val="Aptos Narrow"/>
      <family val="2"/>
      <scheme val="minor"/>
    </font>
    <font>
      <b/>
      <sz val="16"/>
      <color theme="1"/>
      <name val="Aptos Narrow"/>
      <family val="2"/>
      <scheme val="minor"/>
    </font>
    <font>
      <b/>
      <sz val="12"/>
      <color rgb="FF000000"/>
      <name val="Aptos Narrow"/>
      <family val="2"/>
      <scheme val="minor"/>
    </font>
    <font>
      <b/>
      <sz val="18"/>
      <color theme="0"/>
      <name val="Aptos Narrow"/>
      <family val="2"/>
      <scheme val="minor"/>
    </font>
    <font>
      <b/>
      <sz val="14"/>
      <color theme="0"/>
      <name val="Aptos Narrow"/>
      <family val="2"/>
      <scheme val="minor"/>
    </font>
    <font>
      <b/>
      <sz val="16"/>
      <color theme="0"/>
      <name val="Aptos Narrow"/>
      <family val="2"/>
      <scheme val="minor"/>
    </font>
    <font>
      <b/>
      <sz val="14"/>
      <color rgb="FF000000"/>
      <name val="Aptos Narrow"/>
      <family val="2"/>
      <scheme val="minor"/>
    </font>
    <font>
      <b/>
      <sz val="36"/>
      <color theme="0"/>
      <name val="Aptos Narrow"/>
      <family val="2"/>
      <scheme val="minor"/>
    </font>
    <font>
      <sz val="22"/>
      <color theme="1"/>
      <name val="Aptos Narrow"/>
      <family val="2"/>
      <scheme val="minor"/>
    </font>
  </fonts>
  <fills count="17">
    <fill>
      <patternFill patternType="none"/>
    </fill>
    <fill>
      <patternFill patternType="gray125"/>
    </fill>
    <fill>
      <patternFill patternType="solid">
        <fgColor theme="7"/>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C0E6F5"/>
        <bgColor rgb="FF000000"/>
      </patternFill>
    </fill>
    <fill>
      <patternFill patternType="solid">
        <fgColor theme="3" tint="0.749992370372631"/>
        <bgColor indexed="64"/>
      </patternFill>
    </fill>
    <fill>
      <patternFill patternType="solid">
        <fgColor theme="9" tint="-0.499984740745262"/>
        <bgColor indexed="64"/>
      </patternFill>
    </fill>
    <fill>
      <patternFill patternType="solid">
        <fgColor theme="9" tint="0.39997558519241921"/>
        <bgColor indexed="64"/>
      </patternFill>
    </fill>
    <fill>
      <patternFill patternType="solid">
        <fgColor rgb="FFFF9999"/>
        <bgColor indexed="64"/>
      </patternFill>
    </fill>
    <fill>
      <patternFill patternType="solid">
        <fgColor theme="9"/>
        <bgColor indexed="64"/>
      </patternFill>
    </fill>
    <fill>
      <patternFill patternType="solid">
        <fgColor theme="3" tint="0.249977111117893"/>
        <bgColor indexed="64"/>
      </patternFill>
    </fill>
    <fill>
      <patternFill patternType="solid">
        <fgColor theme="4" tint="0.39997558519241921"/>
        <bgColor indexed="64"/>
      </patternFill>
    </fill>
    <fill>
      <patternFill patternType="solid">
        <fgColor theme="2"/>
        <bgColor indexed="64"/>
      </patternFill>
    </fill>
  </fills>
  <borders count="18">
    <border>
      <left/>
      <right/>
      <top/>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double">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s>
  <cellStyleXfs count="2">
    <xf numFmtId="0" fontId="0" fillId="0" borderId="0"/>
    <xf numFmtId="9" fontId="1" fillId="0" borderId="0" applyFont="0" applyFill="0" applyBorder="0" applyAlignment="0" applyProtection="0"/>
  </cellStyleXfs>
  <cellXfs count="76">
    <xf numFmtId="0" fontId="0" fillId="0" borderId="0" xfId="0"/>
    <xf numFmtId="0" fontId="2" fillId="0" borderId="0" xfId="0" applyFont="1" applyAlignment="1">
      <alignment horizontal="center" vertical="center" wrapText="1"/>
    </xf>
    <xf numFmtId="0" fontId="0" fillId="0" borderId="0" xfId="0" applyAlignment="1">
      <alignment horizontal="center" vertical="center"/>
    </xf>
    <xf numFmtId="0" fontId="2" fillId="6" borderId="4" xfId="0" applyFont="1" applyFill="1" applyBorder="1" applyAlignment="1">
      <alignment horizontal="center" vertical="center" wrapText="1"/>
    </xf>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6" borderId="4" xfId="0" applyFont="1" applyFill="1" applyBorder="1" applyAlignment="1">
      <alignment horizontal="center" vertical="center"/>
    </xf>
    <xf numFmtId="0" fontId="3" fillId="7" borderId="9" xfId="0" applyFont="1" applyFill="1" applyBorder="1" applyAlignment="1">
      <alignment horizontal="center" vertical="center" wrapText="1"/>
    </xf>
    <xf numFmtId="0" fontId="3" fillId="7" borderId="5"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9" fillId="2" borderId="0" xfId="0" applyFont="1" applyFill="1" applyAlignment="1">
      <alignment horizontal="center" vertical="center"/>
    </xf>
    <xf numFmtId="0" fontId="2" fillId="6" borderId="14" xfId="0" applyFont="1" applyFill="1" applyBorder="1" applyAlignment="1">
      <alignment horizontal="center" vertical="center" wrapText="1"/>
    </xf>
    <xf numFmtId="0" fontId="2" fillId="6" borderId="14" xfId="0" applyFont="1" applyFill="1" applyBorder="1" applyAlignment="1">
      <alignment horizontal="center" vertical="center"/>
    </xf>
    <xf numFmtId="0" fontId="3" fillId="0" borderId="0" xfId="0" applyFont="1" applyAlignment="1">
      <alignment horizontal="center" vertical="center" wrapText="1"/>
    </xf>
    <xf numFmtId="0" fontId="3" fillId="0" borderId="0" xfId="0" applyFont="1" applyAlignment="1">
      <alignment vertical="center" wrapText="1"/>
    </xf>
    <xf numFmtId="0" fontId="3" fillId="0" borderId="0" xfId="0" applyFont="1" applyAlignment="1">
      <alignment horizontal="center" vertical="center"/>
    </xf>
    <xf numFmtId="0" fontId="6" fillId="0" borderId="0" xfId="0" applyFont="1" applyAlignment="1">
      <alignment vertical="center" wrapText="1"/>
    </xf>
    <xf numFmtId="0" fontId="4" fillId="0" borderId="0" xfId="0" applyFont="1" applyAlignment="1">
      <alignment horizontal="left" vertical="top" wrapText="1"/>
    </xf>
    <xf numFmtId="4" fontId="0" fillId="0" borderId="0" xfId="0" applyNumberFormat="1" applyAlignment="1">
      <alignment horizontal="center" vertical="center"/>
    </xf>
    <xf numFmtId="4" fontId="2" fillId="0" borderId="0" xfId="0" applyNumberFormat="1" applyFont="1" applyAlignment="1">
      <alignment horizontal="center" vertical="center" wrapText="1"/>
    </xf>
    <xf numFmtId="4" fontId="7" fillId="14" borderId="6" xfId="0" applyNumberFormat="1" applyFont="1" applyFill="1" applyBorder="1" applyAlignment="1">
      <alignment horizontal="center" vertical="center" wrapText="1"/>
    </xf>
    <xf numFmtId="4" fontId="7" fillId="14" borderId="7" xfId="0" applyNumberFormat="1" applyFont="1" applyFill="1" applyBorder="1" applyAlignment="1">
      <alignment horizontal="center" vertical="center" wrapText="1"/>
    </xf>
    <xf numFmtId="4" fontId="7" fillId="14" borderId="7" xfId="1" applyNumberFormat="1" applyFont="1" applyFill="1" applyBorder="1" applyAlignment="1">
      <alignment horizontal="center" vertical="center" wrapText="1"/>
    </xf>
    <xf numFmtId="4" fontId="3" fillId="7" borderId="9" xfId="0" applyNumberFormat="1" applyFont="1" applyFill="1" applyBorder="1" applyAlignment="1">
      <alignment horizontal="center" vertical="center" wrapText="1"/>
    </xf>
    <xf numFmtId="4" fontId="3" fillId="7" borderId="10" xfId="0" applyNumberFormat="1" applyFont="1" applyFill="1" applyBorder="1" applyAlignment="1">
      <alignment horizontal="center" vertical="center" wrapText="1"/>
    </xf>
    <xf numFmtId="4" fontId="2" fillId="3" borderId="1" xfId="0" applyNumberFormat="1" applyFont="1" applyFill="1" applyBorder="1" applyAlignment="1">
      <alignment horizontal="center" vertical="center" wrapText="1"/>
    </xf>
    <xf numFmtId="4" fontId="2" fillId="3" borderId="1" xfId="0" applyNumberFormat="1" applyFont="1" applyFill="1" applyBorder="1" applyAlignment="1">
      <alignment horizontal="center" vertical="center"/>
    </xf>
    <xf numFmtId="4" fontId="0" fillId="0" borderId="0" xfId="1" applyNumberFormat="1" applyFont="1" applyAlignment="1">
      <alignment horizontal="center" vertical="center"/>
    </xf>
    <xf numFmtId="4" fontId="2" fillId="6" borderId="4" xfId="0" applyNumberFormat="1" applyFont="1" applyFill="1" applyBorder="1" applyAlignment="1">
      <alignment horizontal="center" vertical="center" wrapText="1"/>
    </xf>
    <xf numFmtId="4" fontId="2" fillId="6" borderId="4" xfId="0" applyNumberFormat="1" applyFont="1" applyFill="1" applyBorder="1" applyAlignment="1">
      <alignment horizontal="center" vertical="center"/>
    </xf>
    <xf numFmtId="4" fontId="0" fillId="6" borderId="4" xfId="0" applyNumberFormat="1" applyFill="1" applyBorder="1" applyAlignment="1">
      <alignment horizontal="center" vertical="center"/>
    </xf>
    <xf numFmtId="4" fontId="3" fillId="7" borderId="7" xfId="0" applyNumberFormat="1" applyFont="1" applyFill="1" applyBorder="1" applyAlignment="1">
      <alignment horizontal="center" vertical="center"/>
    </xf>
    <xf numFmtId="4" fontId="3" fillId="7" borderId="5" xfId="0" applyNumberFormat="1" applyFont="1" applyFill="1" applyBorder="1" applyAlignment="1">
      <alignment horizontal="center" vertical="center" wrapText="1"/>
    </xf>
    <xf numFmtId="4" fontId="3" fillId="7" borderId="5" xfId="0" applyNumberFormat="1" applyFont="1" applyFill="1" applyBorder="1" applyAlignment="1">
      <alignment horizontal="center" vertical="center"/>
    </xf>
    <xf numFmtId="4" fontId="0" fillId="0" borderId="1" xfId="0" applyNumberFormat="1" applyBorder="1" applyAlignment="1">
      <alignment horizontal="center" vertical="center"/>
    </xf>
    <xf numFmtId="4" fontId="4" fillId="11" borderId="13" xfId="0" applyNumberFormat="1" applyFont="1" applyFill="1" applyBorder="1" applyAlignment="1">
      <alignment horizontal="center" vertical="center"/>
    </xf>
    <xf numFmtId="4" fontId="4" fillId="12" borderId="12" xfId="0" applyNumberFormat="1" applyFont="1" applyFill="1" applyBorder="1" applyAlignment="1">
      <alignment horizontal="center" vertical="center"/>
    </xf>
    <xf numFmtId="4" fontId="4" fillId="12" borderId="7" xfId="0" applyNumberFormat="1" applyFont="1" applyFill="1" applyBorder="1" applyAlignment="1">
      <alignment horizontal="center" vertical="center" wrapText="1"/>
    </xf>
    <xf numFmtId="4" fontId="4" fillId="12" borderId="7" xfId="0" applyNumberFormat="1" applyFont="1" applyFill="1" applyBorder="1" applyAlignment="1">
      <alignment horizontal="center" vertical="center"/>
    </xf>
    <xf numFmtId="4" fontId="4" fillId="12" borderId="13" xfId="0" applyNumberFormat="1" applyFont="1" applyFill="1" applyBorder="1" applyAlignment="1">
      <alignment horizontal="center" vertical="center"/>
    </xf>
    <xf numFmtId="4" fontId="0" fillId="0" borderId="11" xfId="0" applyNumberFormat="1" applyBorder="1" applyAlignment="1">
      <alignment horizontal="center" vertical="center"/>
    </xf>
    <xf numFmtId="4" fontId="4" fillId="11" borderId="7" xfId="0" applyNumberFormat="1" applyFont="1" applyFill="1" applyBorder="1" applyAlignment="1">
      <alignment horizontal="center" vertical="center"/>
    </xf>
    <xf numFmtId="4" fontId="0" fillId="0" borderId="0" xfId="0" applyNumberFormat="1" applyAlignment="1">
      <alignment horizontal="center" vertical="center" wrapText="1"/>
    </xf>
    <xf numFmtId="4" fontId="4" fillId="13" borderId="0" xfId="0" applyNumberFormat="1" applyFont="1" applyFill="1" applyAlignment="1">
      <alignment horizontal="center" vertical="center"/>
    </xf>
    <xf numFmtId="4" fontId="0" fillId="4" borderId="0" xfId="0" applyNumberFormat="1" applyFill="1" applyAlignment="1">
      <alignment horizontal="center" vertical="center"/>
    </xf>
    <xf numFmtId="3" fontId="2" fillId="6" borderId="4" xfId="0" applyNumberFormat="1" applyFont="1" applyFill="1" applyBorder="1" applyAlignment="1">
      <alignment horizontal="center" vertical="center" wrapText="1"/>
    </xf>
    <xf numFmtId="3" fontId="2" fillId="6" borderId="4" xfId="0" applyNumberFormat="1" applyFont="1" applyFill="1" applyBorder="1" applyAlignment="1">
      <alignment horizontal="center" vertical="center"/>
    </xf>
    <xf numFmtId="3" fontId="2" fillId="3" borderId="1" xfId="0" applyNumberFormat="1" applyFont="1" applyFill="1" applyBorder="1" applyAlignment="1">
      <alignment horizontal="center" vertical="center"/>
    </xf>
    <xf numFmtId="3" fontId="2" fillId="3" borderId="2" xfId="0" applyNumberFormat="1" applyFont="1" applyFill="1" applyBorder="1" applyAlignment="1">
      <alignment horizontal="center" vertical="center"/>
    </xf>
    <xf numFmtId="3" fontId="2" fillId="9" borderId="3" xfId="0" applyNumberFormat="1" applyFont="1" applyFill="1" applyBorder="1" applyAlignment="1">
      <alignment horizontal="center" vertical="center"/>
    </xf>
    <xf numFmtId="3" fontId="0" fillId="0" borderId="0" xfId="0" applyNumberFormat="1" applyAlignment="1">
      <alignment horizontal="center" vertical="center"/>
    </xf>
    <xf numFmtId="3" fontId="0" fillId="0" borderId="1" xfId="0" applyNumberFormat="1" applyBorder="1" applyAlignment="1">
      <alignment horizontal="center" vertical="center"/>
    </xf>
    <xf numFmtId="3" fontId="7" fillId="14" borderId="7" xfId="0" applyNumberFormat="1" applyFont="1" applyFill="1" applyBorder="1" applyAlignment="1">
      <alignment horizontal="center" vertical="center" wrapText="1"/>
    </xf>
    <xf numFmtId="3" fontId="0" fillId="4" borderId="0" xfId="0" applyNumberFormat="1" applyFill="1" applyAlignment="1">
      <alignment horizontal="center" vertical="center"/>
    </xf>
    <xf numFmtId="0" fontId="0" fillId="4" borderId="0" xfId="0" applyFill="1" applyAlignment="1">
      <alignment horizontal="center" vertical="center"/>
    </xf>
    <xf numFmtId="164" fontId="0" fillId="4" borderId="0" xfId="0" applyNumberFormat="1" applyFill="1" applyAlignment="1">
      <alignment horizontal="center" vertical="center"/>
    </xf>
    <xf numFmtId="4" fontId="0" fillId="0" borderId="11" xfId="1" applyNumberFormat="1" applyFont="1" applyBorder="1" applyAlignment="1">
      <alignment horizontal="center" vertical="center"/>
    </xf>
    <xf numFmtId="4" fontId="0" fillId="15" borderId="0" xfId="0" applyNumberFormat="1" applyFill="1" applyAlignment="1">
      <alignment horizontal="center" vertical="center"/>
    </xf>
    <xf numFmtId="4" fontId="0" fillId="15" borderId="0" xfId="1" applyNumberFormat="1" applyFont="1" applyFill="1" applyAlignment="1">
      <alignment horizontal="center" vertical="center"/>
    </xf>
    <xf numFmtId="4" fontId="12" fillId="16" borderId="14" xfId="0" applyNumberFormat="1" applyFont="1" applyFill="1" applyBorder="1" applyAlignment="1">
      <alignment horizontal="center" vertical="center" wrapText="1"/>
    </xf>
    <xf numFmtId="4" fontId="12" fillId="16" borderId="2" xfId="0" applyNumberFormat="1" applyFont="1" applyFill="1" applyBorder="1" applyAlignment="1">
      <alignment horizontal="center" vertical="center" wrapText="1"/>
    </xf>
    <xf numFmtId="4" fontId="12" fillId="16" borderId="3" xfId="0" applyNumberFormat="1" applyFont="1" applyFill="1" applyBorder="1" applyAlignment="1">
      <alignment horizontal="center" vertical="center" wrapText="1"/>
    </xf>
    <xf numFmtId="4" fontId="12" fillId="16" borderId="15" xfId="0" applyNumberFormat="1" applyFont="1" applyFill="1" applyBorder="1" applyAlignment="1">
      <alignment horizontal="center" vertical="center"/>
    </xf>
    <xf numFmtId="4" fontId="12" fillId="16" borderId="11" xfId="0" applyNumberFormat="1" applyFont="1" applyFill="1" applyBorder="1" applyAlignment="1">
      <alignment horizontal="center" vertical="center"/>
    </xf>
    <xf numFmtId="4" fontId="12" fillId="16" borderId="17" xfId="0" applyNumberFormat="1" applyFont="1" applyFill="1" applyBorder="1" applyAlignment="1">
      <alignment horizontal="center" vertical="center"/>
    </xf>
    <xf numFmtId="4" fontId="12" fillId="16" borderId="16" xfId="0" applyNumberFormat="1" applyFont="1" applyFill="1" applyBorder="1" applyAlignment="1">
      <alignment horizontal="center" vertical="center"/>
    </xf>
    <xf numFmtId="4" fontId="12" fillId="16" borderId="1" xfId="0" applyNumberFormat="1" applyFont="1" applyFill="1" applyBorder="1" applyAlignment="1">
      <alignment horizontal="center" vertical="center"/>
    </xf>
    <xf numFmtId="4" fontId="12" fillId="16" borderId="6" xfId="0" applyNumberFormat="1" applyFont="1" applyFill="1" applyBorder="1" applyAlignment="1">
      <alignment horizontal="center" vertical="center"/>
    </xf>
    <xf numFmtId="4" fontId="4" fillId="5" borderId="8" xfId="0" applyNumberFormat="1" applyFont="1" applyFill="1" applyBorder="1" applyAlignment="1">
      <alignment horizontal="center" vertical="center" wrapText="1"/>
    </xf>
    <xf numFmtId="4" fontId="8" fillId="10" borderId="0" xfId="0" applyNumberFormat="1" applyFont="1" applyFill="1" applyAlignment="1">
      <alignment horizontal="center" vertical="center"/>
    </xf>
    <xf numFmtId="4" fontId="5" fillId="4" borderId="5" xfId="0" applyNumberFormat="1" applyFont="1" applyFill="1" applyBorder="1" applyAlignment="1">
      <alignment horizontal="center" vertical="center" wrapText="1"/>
    </xf>
    <xf numFmtId="4" fontId="10" fillId="8" borderId="8" xfId="0" applyNumberFormat="1" applyFont="1" applyFill="1" applyBorder="1" applyAlignment="1">
      <alignment horizontal="center" vertical="center" wrapText="1"/>
    </xf>
    <xf numFmtId="4" fontId="11" fillId="15" borderId="0" xfId="0" applyNumberFormat="1" applyFont="1" applyFill="1" applyAlignment="1">
      <alignment horizontal="center" vertical="center"/>
    </xf>
    <xf numFmtId="4" fontId="5" fillId="4" borderId="1" xfId="0" applyNumberFormat="1" applyFont="1" applyFill="1" applyBorder="1" applyAlignment="1">
      <alignment horizontal="center" vertical="center"/>
    </xf>
    <xf numFmtId="0" fontId="3" fillId="5" borderId="8" xfId="0" applyFont="1" applyFill="1" applyBorder="1" applyAlignment="1">
      <alignment horizontal="center" vertical="center" wrapText="1"/>
    </xf>
    <xf numFmtId="0" fontId="6" fillId="8" borderId="8" xfId="0" applyFont="1" applyFill="1" applyBorder="1" applyAlignment="1">
      <alignment horizontal="center" vertical="center" wrapText="1"/>
    </xf>
  </cellXfs>
  <cellStyles count="2">
    <cellStyle name="Normal" xfId="0" builtinId="0"/>
    <cellStyle name="Percent" xfId="1" builtinId="5"/>
  </cellStyles>
  <dxfs count="26">
    <dxf>
      <font>
        <color rgb="FF9C0006"/>
      </font>
      <fill>
        <patternFill>
          <bgColor rgb="FFFFC7CE"/>
        </patternFill>
      </fill>
    </dxf>
    <dxf>
      <numFmt numFmtId="4" formatCode="#,##0.00"/>
      <alignment horizontal="center" vertical="center" textRotation="0" wrapText="0" indent="0" justifyLastLine="0" shrinkToFit="0" readingOrder="0"/>
    </dxf>
    <dxf>
      <numFmt numFmtId="4" formatCode="#,##0.00"/>
      <alignment horizontal="center" vertical="center" textRotation="0" wrapText="0" indent="0" justifyLastLine="0" shrinkToFit="0" readingOrder="0"/>
    </dxf>
    <dxf>
      <numFmt numFmtId="4" formatCode="#,##0.00"/>
      <alignment horizontal="center" vertical="center" textRotation="0" wrapText="0" indent="0" justifyLastLine="0" shrinkToFit="0" readingOrder="0"/>
    </dxf>
    <dxf>
      <numFmt numFmtId="4" formatCode="#,##0.00"/>
      <alignment horizontal="center" vertical="center" textRotation="0" wrapText="0" indent="0" justifyLastLine="0" shrinkToFit="0" readingOrder="0"/>
    </dxf>
    <dxf>
      <numFmt numFmtId="4" formatCode="#,##0.00"/>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numFmt numFmtId="4" formatCode="#,##0.00"/>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numFmt numFmtId="4" formatCode="#,##0.00"/>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numFmt numFmtId="3" formatCode="#,##0"/>
      <fill>
        <patternFill patternType="solid">
          <fgColor indexed="64"/>
          <bgColor theme="3" tint="0.749992370372631"/>
        </patternFill>
      </fill>
      <alignment horizontal="center" vertical="center" textRotation="0" wrapText="0" indent="0" justifyLastLine="0" shrinkToFit="0" readingOrder="0"/>
      <border diagonalUp="0" diagonalDown="0" outline="0">
        <left/>
        <right/>
        <top style="thin">
          <color indexed="64"/>
        </top>
        <bottom style="thin">
          <color indexed="64"/>
        </bottom>
      </border>
    </dxf>
    <dxf>
      <border outline="0">
        <left style="thin">
          <color indexed="64"/>
        </left>
        <top style="thin">
          <color indexed="64"/>
        </top>
      </border>
    </dxf>
    <dxf>
      <numFmt numFmtId="4" formatCode="#,##0.00"/>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8"/>
        <color theme="0"/>
        <name val="Aptos Narrow"/>
        <family val="2"/>
        <scheme val="minor"/>
      </font>
      <numFmt numFmtId="4" formatCode="#,##0.00"/>
      <fill>
        <patternFill patternType="solid">
          <fgColor indexed="64"/>
          <bgColor theme="3" tint="0.249977111117893"/>
        </patternFill>
      </fill>
      <alignment horizontal="center" vertical="center" textRotation="0" wrapText="1" indent="0" justifyLastLine="0" shrinkToFit="0" readingOrder="0"/>
      <border diagonalUp="0" diagonalDown="0">
        <left style="thin">
          <color indexed="64"/>
        </left>
        <right style="thin">
          <color indexed="64"/>
        </right>
        <top/>
        <bottom/>
      </border>
    </dxf>
  </dxfs>
  <tableStyles count="0" defaultTableStyle="TableStyleMedium2" defaultPivotStyle="PivotStyleLight16"/>
  <colors>
    <mruColors>
      <color rgb="FFFF9999"/>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tr-T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Profit Comparison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barChart>
        <c:barDir val="col"/>
        <c:grouping val="clustered"/>
        <c:varyColors val="0"/>
        <c:ser>
          <c:idx val="0"/>
          <c:order val="0"/>
          <c:tx>
            <c:strRef>
              <c:f>Solve!$X$192:$X$193</c:f>
              <c:strCache>
                <c:ptCount val="2"/>
                <c:pt idx="0">
                  <c:v>Server Utilization Threshold</c:v>
                </c:pt>
                <c:pt idx="1">
                  <c:v>0,5</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Solve!$V$194:$W$198</c:f>
              <c:multiLvlStrCache>
                <c:ptCount val="5"/>
                <c:lvl>
                  <c:pt idx="0">
                    <c:v>1</c:v>
                  </c:pt>
                  <c:pt idx="1">
                    <c:v>2</c:v>
                  </c:pt>
                  <c:pt idx="2">
                    <c:v>3</c:v>
                  </c:pt>
                  <c:pt idx="3">
                    <c:v>4</c:v>
                  </c:pt>
                  <c:pt idx="4">
                    <c:v>5</c:v>
                  </c:pt>
                </c:lvl>
                <c:lvl>
                  <c:pt idx="0">
                    <c:v>Initial Server Count</c:v>
                  </c:pt>
                </c:lvl>
              </c:multiLvlStrCache>
            </c:multiLvlStrRef>
          </c:cat>
          <c:val>
            <c:numRef>
              <c:f>Solve!$X$194:$X$198</c:f>
              <c:numCache>
                <c:formatCode>#,##0.00</c:formatCode>
                <c:ptCount val="5"/>
                <c:pt idx="0">
                  <c:v>44190</c:v>
                </c:pt>
                <c:pt idx="1">
                  <c:v>51530</c:v>
                </c:pt>
                <c:pt idx="2">
                  <c:v>41515</c:v>
                </c:pt>
                <c:pt idx="3">
                  <c:v>42030</c:v>
                </c:pt>
                <c:pt idx="4">
                  <c:v>52095</c:v>
                </c:pt>
              </c:numCache>
            </c:numRef>
          </c:val>
          <c:extLst>
            <c:ext xmlns:c16="http://schemas.microsoft.com/office/drawing/2014/chart" uri="{C3380CC4-5D6E-409C-BE32-E72D297353CC}">
              <c16:uniqueId val="{00000000-E72A-4EC0-BE6A-B7AF7B2DB33F}"/>
            </c:ext>
          </c:extLst>
        </c:ser>
        <c:ser>
          <c:idx val="1"/>
          <c:order val="1"/>
          <c:tx>
            <c:strRef>
              <c:f>Solve!$Y$192:$Y$193</c:f>
              <c:strCache>
                <c:ptCount val="2"/>
                <c:pt idx="0">
                  <c:v>Server Utilization Threshold</c:v>
                </c:pt>
                <c:pt idx="1">
                  <c:v>0,6</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Solve!$V$194:$W$198</c:f>
              <c:multiLvlStrCache>
                <c:ptCount val="5"/>
                <c:lvl>
                  <c:pt idx="0">
                    <c:v>1</c:v>
                  </c:pt>
                  <c:pt idx="1">
                    <c:v>2</c:v>
                  </c:pt>
                  <c:pt idx="2">
                    <c:v>3</c:v>
                  </c:pt>
                  <c:pt idx="3">
                    <c:v>4</c:v>
                  </c:pt>
                  <c:pt idx="4">
                    <c:v>5</c:v>
                  </c:pt>
                </c:lvl>
                <c:lvl>
                  <c:pt idx="0">
                    <c:v>Initial Server Count</c:v>
                  </c:pt>
                </c:lvl>
              </c:multiLvlStrCache>
            </c:multiLvlStrRef>
          </c:cat>
          <c:val>
            <c:numRef>
              <c:f>Solve!$Y$194:$Y$198</c:f>
              <c:numCache>
                <c:formatCode>#,##0.00</c:formatCode>
                <c:ptCount val="5"/>
                <c:pt idx="0">
                  <c:v>43735</c:v>
                </c:pt>
                <c:pt idx="1">
                  <c:v>51305</c:v>
                </c:pt>
                <c:pt idx="2">
                  <c:v>42195</c:v>
                </c:pt>
                <c:pt idx="3">
                  <c:v>55925</c:v>
                </c:pt>
                <c:pt idx="4">
                  <c:v>52210</c:v>
                </c:pt>
              </c:numCache>
            </c:numRef>
          </c:val>
          <c:extLst>
            <c:ext xmlns:c16="http://schemas.microsoft.com/office/drawing/2014/chart" uri="{C3380CC4-5D6E-409C-BE32-E72D297353CC}">
              <c16:uniqueId val="{00000001-E72A-4EC0-BE6A-B7AF7B2DB33F}"/>
            </c:ext>
          </c:extLst>
        </c:ser>
        <c:ser>
          <c:idx val="2"/>
          <c:order val="2"/>
          <c:tx>
            <c:strRef>
              <c:f>Solve!$Z$192:$Z$193</c:f>
              <c:strCache>
                <c:ptCount val="2"/>
                <c:pt idx="0">
                  <c:v>Server Utilization Threshold</c:v>
                </c:pt>
                <c:pt idx="1">
                  <c:v>0,7</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Solve!$V$194:$W$198</c:f>
              <c:multiLvlStrCache>
                <c:ptCount val="5"/>
                <c:lvl>
                  <c:pt idx="0">
                    <c:v>1</c:v>
                  </c:pt>
                  <c:pt idx="1">
                    <c:v>2</c:v>
                  </c:pt>
                  <c:pt idx="2">
                    <c:v>3</c:v>
                  </c:pt>
                  <c:pt idx="3">
                    <c:v>4</c:v>
                  </c:pt>
                  <c:pt idx="4">
                    <c:v>5</c:v>
                  </c:pt>
                </c:lvl>
                <c:lvl>
                  <c:pt idx="0">
                    <c:v>Initial Server Count</c:v>
                  </c:pt>
                </c:lvl>
              </c:multiLvlStrCache>
            </c:multiLvlStrRef>
          </c:cat>
          <c:val>
            <c:numRef>
              <c:f>Solve!$Z$194:$Z$198</c:f>
              <c:numCache>
                <c:formatCode>#,##0.00</c:formatCode>
                <c:ptCount val="5"/>
                <c:pt idx="0">
                  <c:v>47569</c:v>
                </c:pt>
                <c:pt idx="1">
                  <c:v>61745</c:v>
                </c:pt>
                <c:pt idx="2">
                  <c:v>55125</c:v>
                </c:pt>
                <c:pt idx="3">
                  <c:v>52170</c:v>
                </c:pt>
                <c:pt idx="4">
                  <c:v>54927</c:v>
                </c:pt>
              </c:numCache>
            </c:numRef>
          </c:val>
          <c:extLst>
            <c:ext xmlns:c16="http://schemas.microsoft.com/office/drawing/2014/chart" uri="{C3380CC4-5D6E-409C-BE32-E72D297353CC}">
              <c16:uniqueId val="{00000002-E72A-4EC0-BE6A-B7AF7B2DB33F}"/>
            </c:ext>
          </c:extLst>
        </c:ser>
        <c:ser>
          <c:idx val="3"/>
          <c:order val="3"/>
          <c:tx>
            <c:strRef>
              <c:f>Solve!$AA$192:$AA$193</c:f>
              <c:strCache>
                <c:ptCount val="2"/>
                <c:pt idx="0">
                  <c:v>Server Utilization Threshold</c:v>
                </c:pt>
                <c:pt idx="1">
                  <c:v>0,8</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Solve!$V$194:$W$198</c:f>
              <c:multiLvlStrCache>
                <c:ptCount val="5"/>
                <c:lvl>
                  <c:pt idx="0">
                    <c:v>1</c:v>
                  </c:pt>
                  <c:pt idx="1">
                    <c:v>2</c:v>
                  </c:pt>
                  <c:pt idx="2">
                    <c:v>3</c:v>
                  </c:pt>
                  <c:pt idx="3">
                    <c:v>4</c:v>
                  </c:pt>
                  <c:pt idx="4">
                    <c:v>5</c:v>
                  </c:pt>
                </c:lvl>
                <c:lvl>
                  <c:pt idx="0">
                    <c:v>Initial Server Count</c:v>
                  </c:pt>
                </c:lvl>
              </c:multiLvlStrCache>
            </c:multiLvlStrRef>
          </c:cat>
          <c:val>
            <c:numRef>
              <c:f>Solve!$AA$194:$AA$198</c:f>
              <c:numCache>
                <c:formatCode>#,##0.00</c:formatCode>
                <c:ptCount val="5"/>
                <c:pt idx="0">
                  <c:v>20073.289271717862</c:v>
                </c:pt>
                <c:pt idx="1">
                  <c:v>8396.0366846585675</c:v>
                </c:pt>
                <c:pt idx="2">
                  <c:v>-470.0899875559553</c:v>
                </c:pt>
                <c:pt idx="3">
                  <c:v>22022.932384315063</c:v>
                </c:pt>
                <c:pt idx="4">
                  <c:v>12416.988247705754</c:v>
                </c:pt>
              </c:numCache>
            </c:numRef>
          </c:val>
          <c:extLst>
            <c:ext xmlns:c16="http://schemas.microsoft.com/office/drawing/2014/chart" uri="{C3380CC4-5D6E-409C-BE32-E72D297353CC}">
              <c16:uniqueId val="{00000003-E72A-4EC0-BE6A-B7AF7B2DB33F}"/>
            </c:ext>
          </c:extLst>
        </c:ser>
        <c:ser>
          <c:idx val="4"/>
          <c:order val="4"/>
          <c:tx>
            <c:strRef>
              <c:f>Solve!$AB$192:$AB$193</c:f>
              <c:strCache>
                <c:ptCount val="2"/>
                <c:pt idx="0">
                  <c:v>Server Utilization Threshold</c:v>
                </c:pt>
                <c:pt idx="1">
                  <c:v>0,9</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Solve!$V$194:$W$198</c:f>
              <c:multiLvlStrCache>
                <c:ptCount val="5"/>
                <c:lvl>
                  <c:pt idx="0">
                    <c:v>1</c:v>
                  </c:pt>
                  <c:pt idx="1">
                    <c:v>2</c:v>
                  </c:pt>
                  <c:pt idx="2">
                    <c:v>3</c:v>
                  </c:pt>
                  <c:pt idx="3">
                    <c:v>4</c:v>
                  </c:pt>
                  <c:pt idx="4">
                    <c:v>5</c:v>
                  </c:pt>
                </c:lvl>
                <c:lvl>
                  <c:pt idx="0">
                    <c:v>Initial Server Count</c:v>
                  </c:pt>
                </c:lvl>
              </c:multiLvlStrCache>
            </c:multiLvlStrRef>
          </c:cat>
          <c:val>
            <c:numRef>
              <c:f>Solve!$AB$194:$AB$198</c:f>
              <c:numCache>
                <c:formatCode>#,##0.00</c:formatCode>
                <c:ptCount val="5"/>
                <c:pt idx="0">
                  <c:v>14568.251463244291</c:v>
                </c:pt>
                <c:pt idx="1">
                  <c:v>12882.256460055432</c:v>
                </c:pt>
                <c:pt idx="2">
                  <c:v>824.73544552798558</c:v>
                </c:pt>
                <c:pt idx="3">
                  <c:v>-7945.1912960303598</c:v>
                </c:pt>
                <c:pt idx="4">
                  <c:v>-743.84826493250148</c:v>
                </c:pt>
              </c:numCache>
            </c:numRef>
          </c:val>
          <c:extLst>
            <c:ext xmlns:c16="http://schemas.microsoft.com/office/drawing/2014/chart" uri="{C3380CC4-5D6E-409C-BE32-E72D297353CC}">
              <c16:uniqueId val="{00000004-E72A-4EC0-BE6A-B7AF7B2DB33F}"/>
            </c:ext>
          </c:extLst>
        </c:ser>
        <c:ser>
          <c:idx val="5"/>
          <c:order val="5"/>
          <c:tx>
            <c:strRef>
              <c:f>Solve!$AC$192:$AC$193</c:f>
              <c:strCache>
                <c:ptCount val="2"/>
                <c:pt idx="0">
                  <c:v>Server Utilization Threshold</c:v>
                </c:pt>
                <c:pt idx="1">
                  <c:v>1,00</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Solve!$V$194:$W$198</c:f>
              <c:multiLvlStrCache>
                <c:ptCount val="5"/>
                <c:lvl>
                  <c:pt idx="0">
                    <c:v>1</c:v>
                  </c:pt>
                  <c:pt idx="1">
                    <c:v>2</c:v>
                  </c:pt>
                  <c:pt idx="2">
                    <c:v>3</c:v>
                  </c:pt>
                  <c:pt idx="3">
                    <c:v>4</c:v>
                  </c:pt>
                  <c:pt idx="4">
                    <c:v>5</c:v>
                  </c:pt>
                </c:lvl>
                <c:lvl>
                  <c:pt idx="0">
                    <c:v>Initial Server Count</c:v>
                  </c:pt>
                </c:lvl>
              </c:multiLvlStrCache>
            </c:multiLvlStrRef>
          </c:cat>
          <c:val>
            <c:numRef>
              <c:f>Solve!$AC$194:$AC$198</c:f>
              <c:numCache>
                <c:formatCode>#,##0.00</c:formatCode>
                <c:ptCount val="5"/>
                <c:pt idx="0">
                  <c:v>25527.576388073998</c:v>
                </c:pt>
                <c:pt idx="1">
                  <c:v>25313.339661258738</c:v>
                </c:pt>
                <c:pt idx="2">
                  <c:v>8768.8816744403448</c:v>
                </c:pt>
                <c:pt idx="3">
                  <c:v>2670.000333488686</c:v>
                </c:pt>
                <c:pt idx="4">
                  <c:v>19679.872356177293</c:v>
                </c:pt>
              </c:numCache>
            </c:numRef>
          </c:val>
          <c:extLst>
            <c:ext xmlns:c16="http://schemas.microsoft.com/office/drawing/2014/chart" uri="{C3380CC4-5D6E-409C-BE32-E72D297353CC}">
              <c16:uniqueId val="{00000005-E72A-4EC0-BE6A-B7AF7B2DB33F}"/>
            </c:ext>
          </c:extLst>
        </c:ser>
        <c:dLbls>
          <c:showLegendKey val="0"/>
          <c:showVal val="0"/>
          <c:showCatName val="0"/>
          <c:showSerName val="0"/>
          <c:showPercent val="0"/>
          <c:showBubbleSize val="0"/>
        </c:dLbls>
        <c:gapWidth val="100"/>
        <c:overlap val="-24"/>
        <c:axId val="495589280"/>
        <c:axId val="495590720"/>
      </c:barChart>
      <c:catAx>
        <c:axId val="4955892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tr-TR"/>
          </a:p>
        </c:txPr>
        <c:crossAx val="495590720"/>
        <c:crosses val="autoZero"/>
        <c:auto val="1"/>
        <c:lblAlgn val="ctr"/>
        <c:lblOffset val="100"/>
        <c:noMultiLvlLbl val="0"/>
      </c:catAx>
      <c:valAx>
        <c:axId val="495590720"/>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4955892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lt1">
                  <a:lumMod val="85000"/>
                </a:schemeClr>
              </a:solidFill>
              <a:latin typeface="+mn-lt"/>
              <a:ea typeface="+mn-ea"/>
              <a:cs typeface="+mn-cs"/>
            </a:defRPr>
          </a:pPr>
          <a:endParaRPr lang="tr-TR"/>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30</xdr:col>
      <xdr:colOff>8213</xdr:colOff>
      <xdr:row>187</xdr:row>
      <xdr:rowOff>4310</xdr:rowOff>
    </xdr:from>
    <xdr:to>
      <xdr:col>33</xdr:col>
      <xdr:colOff>10886</xdr:colOff>
      <xdr:row>203</xdr:row>
      <xdr:rowOff>250370</xdr:rowOff>
    </xdr:to>
    <xdr:graphicFrame macro="">
      <xdr:nvGraphicFramePr>
        <xdr:cNvPr id="3" name="Chart 2">
          <a:extLst>
            <a:ext uri="{FF2B5EF4-FFF2-40B4-BE49-F238E27FC236}">
              <a16:creationId xmlns:a16="http://schemas.microsoft.com/office/drawing/2014/main" id="{AC5AA7BD-E895-F309-47CC-02683BE23F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00CE41-183C-4471-9287-3D30088A2FD0}" name="Tablo1" displayName="Tablo1" ref="M1:AG181" totalsRowShown="0" headerRowDxfId="25" dataDxfId="23" headerRowBorderDxfId="24" tableBorderDxfId="22">
  <tableColumns count="21">
    <tableColumn id="1" xr3:uid="{923592F9-C4F6-44D6-87D5-588FB17667FC}" name="Minute" dataDxfId="21"/>
    <tableColumn id="2" xr3:uid="{728D6EBD-A87C-49AB-B3BE-3991E66EA4C5}" name="Random Number for New Customers" dataDxfId="20">
      <calculatedColumnFormula>RANDBETWEEN(1,100)</calculatedColumnFormula>
    </tableColumn>
    <tableColumn id="3" xr3:uid="{CADDD781-77E0-4A2B-A725-E1604046B62C}" name="Number of New Customers" dataDxfId="19">
      <calculatedColumnFormula>LOOKUP(N2,$D$3:$E$8,$A$3:$A$8)</calculatedColumnFormula>
    </tableColumn>
    <tableColumn id="4" xr3:uid="{2B1C084A-4D9E-4348-95E2-7687BB465CF9}" name="Remaining Customers from Previous Minute" dataDxfId="18">
      <calculatedColumnFormula>T1</calculatedColumnFormula>
    </tableColumn>
    <tableColumn id="5" xr3:uid="{9C67E201-5574-4611-B121-4B745782F3EA}" name="Total Number of Customers in That Minute" dataDxfId="17">
      <calculatedColumnFormula>O2+P2</calculatedColumnFormula>
    </tableColumn>
    <tableColumn id="6" xr3:uid="{50E4F331-BEA8-4B6E-B239-E9326506EA0F}" name="Random Number for  Customers Leaving" dataDxfId="16">
      <calculatedColumnFormula>RANDBETWEEN(1,100)</calculatedColumnFormula>
    </tableColumn>
    <tableColumn id="7" xr3:uid="{623C353F-2F90-41F2-BFB6-F18DCC8451E5}" name="Number of  Customers Leaving" dataDxfId="15">
      <calculatedColumnFormula>MIN(Q2,LOOKUP(R2,$D$15:$E$18,$A$15:$A$18))</calculatedColumnFormula>
    </tableColumn>
    <tableColumn id="8" xr3:uid="{1C00F95C-0130-4E5F-A8AF-4FD73379EE92}" name="Number of Customerss at the End of the Minute" dataDxfId="14">
      <calculatedColumnFormula>IF(W2&lt;&gt;"-",Q2-S2-W2,Q2-S2)</calculatedColumnFormula>
    </tableColumn>
    <tableColumn id="9" xr3:uid="{240CE4F2-F211-4565-98CE-9533CF73C7AD}" name="Server Utilization Rate" dataDxfId="13">
      <calculatedColumnFormula>Q2/($J$2*V2)</calculatedColumnFormula>
    </tableColumn>
    <tableColumn id="10" xr3:uid="{05DCD267-BD26-46AC-8554-D46B0B8E14BF}" name="Number of Servers" dataDxfId="12">
      <calculatedColumnFormula>IF(U1&gt;$J$4,V1+1,IF(AND(U1&lt;$J$5,V1&lt;&gt;1),V1-1,V1))</calculatedColumnFormula>
    </tableColumn>
    <tableColumn id="11" xr3:uid="{2AE8FF6C-838B-45BF-9273-91AE8EEC315E}" name="Number of Customer Churn" dataDxfId="11">
      <calculatedColumnFormula>IF(U2&gt;=$J$7,Q2*$J$6,"-")</calculatedColumnFormula>
    </tableColumn>
    <tableColumn id="12" xr3:uid="{BE7B8B5B-E3AE-447F-A847-9FBE8111705D}" name="Random Number for Purchasing Customers" dataDxfId="10">
      <calculatedColumnFormula>RANDBETWEEN(1,100)</calculatedColumnFormula>
    </tableColumn>
    <tableColumn id="13" xr3:uid="{2CF1E421-846F-44ED-85C8-C64F201ECB00}" name="Number for Purchasing Customers" dataDxfId="9">
      <calculatedColumnFormula>ROUND(LOOKUP(X2,$D$24:$E$29,$A$24:$A$29)*S2, 0)</calculatedColumnFormula>
    </tableColumn>
    <tableColumn id="14" xr3:uid="{1DC52FFD-F5E2-4827-A9A4-4B9E5C57E497}" name="Income" dataDxfId="8">
      <calculatedColumnFormula>Y2*$J$10</calculatedColumnFormula>
    </tableColumn>
    <tableColumn id="15" xr3:uid="{38C37C1F-6332-4990-8C91-64DE8B594501}" name="Random Number for Purchase Probability of Leaving Customers" dataDxfId="7">
      <calculatedColumnFormula>RANDBETWEEN(1,100)</calculatedColumnFormula>
    </tableColumn>
    <tableColumn id="16" xr3:uid="{D4BF6C0F-D330-4F3C-BBED-C46B15229302}" name="Number of Lost Customers with Purchase Likelihood" dataDxfId="6">
      <calculatedColumnFormula>IF(W2&lt;&gt;"-",LOOKUP(AA2,$D$24:$E$29,$A$24:$A$29)*W2,"-")</calculatedColumnFormula>
    </tableColumn>
    <tableColumn id="17" xr3:uid="{BBD68A0F-1C9F-4808-B63A-CB0DC4640A1E}" name="Cost of Lost Customers" dataDxfId="5">
      <calculatedColumnFormula>IF(AB2&lt;&gt;"-",AB2*$J$10,"0")</calculatedColumnFormula>
    </tableColumn>
    <tableColumn id="22" xr3:uid="{72A23D64-7A56-4429-AE79-85C2D8552BB1}" name="Cost of Goods" dataDxfId="4">
      <calculatedColumnFormula>Z2*$J$12</calculatedColumnFormula>
    </tableColumn>
    <tableColumn id="18" xr3:uid="{FE357A00-0E46-40DD-B365-083B6FEAA950}" name="Other Costs" dataDxfId="3">
      <calculatedColumnFormula>$J$11</calculatedColumnFormula>
    </tableColumn>
    <tableColumn id="19" xr3:uid="{A0CDD980-DD9D-4727-B8BC-260EE6117898}" name="Server Cost" dataDxfId="2">
      <calculatedColumnFormula>IF(V2-V1=1,($J$9*V2)+$J$8,$J$9*V2)</calculatedColumnFormula>
    </tableColumn>
    <tableColumn id="20" xr3:uid="{35320223-F8AA-4489-92CB-B61CA9CEBF5E}" name="Total Cost" dataDxfId="1">
      <calculatedColumnFormula>AC2+AE2+AF2+AD2</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5E2E2-2D61-490C-8F49-207F76CEE082}">
  <dimension ref="A1:E51"/>
  <sheetViews>
    <sheetView tabSelected="1" zoomScale="65" workbookViewId="0">
      <selection activeCell="A2" sqref="A2"/>
    </sheetView>
  </sheetViews>
  <sheetFormatPr defaultRowHeight="14.4" x14ac:dyDescent="0.3"/>
  <cols>
    <col min="1" max="1" width="177.5546875" customWidth="1"/>
    <col min="2" max="2" width="10.77734375" customWidth="1"/>
  </cols>
  <sheetData>
    <row r="1" spans="1:5" ht="21" x14ac:dyDescent="0.3">
      <c r="A1" s="10" t="s">
        <v>64</v>
      </c>
    </row>
    <row r="2" spans="1:5" ht="409.2" customHeight="1" x14ac:dyDescent="0.3">
      <c r="A2" s="17" t="s">
        <v>41</v>
      </c>
    </row>
    <row r="3" spans="1:5" ht="6" customHeight="1" x14ac:dyDescent="0.3"/>
    <row r="6" spans="1:5" ht="16.2" thickBot="1" x14ac:dyDescent="0.35">
      <c r="A6" s="74" t="s">
        <v>57</v>
      </c>
      <c r="B6" s="74"/>
    </row>
    <row r="7" spans="1:5" ht="16.8" thickTop="1" thickBot="1" x14ac:dyDescent="0.35">
      <c r="A7" s="74" t="s">
        <v>12</v>
      </c>
      <c r="B7" s="74"/>
      <c r="C7" s="14"/>
      <c r="D7" s="14"/>
      <c r="E7" s="14"/>
    </row>
    <row r="8" spans="1:5" ht="31.8" thickTop="1" x14ac:dyDescent="0.3">
      <c r="A8" s="7" t="s">
        <v>16</v>
      </c>
      <c r="B8" s="8" t="s">
        <v>13</v>
      </c>
      <c r="C8" s="13"/>
      <c r="D8" s="13"/>
      <c r="E8" s="13"/>
    </row>
    <row r="9" spans="1:5" x14ac:dyDescent="0.3">
      <c r="A9" s="3">
        <v>5</v>
      </c>
      <c r="B9" s="11">
        <v>450</v>
      </c>
      <c r="C9" s="1"/>
      <c r="D9" s="1"/>
      <c r="E9" s="1"/>
    </row>
    <row r="10" spans="1:5" x14ac:dyDescent="0.3">
      <c r="A10" s="3">
        <v>8</v>
      </c>
      <c r="B10" s="11">
        <v>300</v>
      </c>
      <c r="C10" s="1"/>
      <c r="D10" s="1"/>
      <c r="E10" s="1"/>
    </row>
    <row r="11" spans="1:5" x14ac:dyDescent="0.3">
      <c r="A11" s="3">
        <v>12</v>
      </c>
      <c r="B11" s="11">
        <v>120</v>
      </c>
      <c r="C11" s="1"/>
      <c r="D11" s="1"/>
      <c r="E11" s="1"/>
    </row>
    <row r="12" spans="1:5" x14ac:dyDescent="0.3">
      <c r="A12" s="3">
        <v>15</v>
      </c>
      <c r="B12" s="11">
        <v>80</v>
      </c>
      <c r="C12" s="1"/>
      <c r="D12" s="1"/>
      <c r="E12" s="1"/>
    </row>
    <row r="13" spans="1:5" x14ac:dyDescent="0.3">
      <c r="A13" s="3">
        <v>18</v>
      </c>
      <c r="B13" s="11">
        <v>30</v>
      </c>
      <c r="C13" s="1"/>
      <c r="D13" s="1"/>
      <c r="E13" s="1"/>
    </row>
    <row r="14" spans="1:5" x14ac:dyDescent="0.3">
      <c r="A14" s="3">
        <v>20</v>
      </c>
      <c r="B14" s="11">
        <v>20</v>
      </c>
      <c r="C14" s="1"/>
      <c r="D14" s="1"/>
      <c r="E14" s="1"/>
    </row>
    <row r="15" spans="1:5" x14ac:dyDescent="0.3">
      <c r="A15" s="6" t="s">
        <v>1</v>
      </c>
      <c r="B15" s="12">
        <f>SUM(B9:B14)</f>
        <v>1000</v>
      </c>
      <c r="C15" s="2"/>
      <c r="D15" s="2"/>
      <c r="E15" s="2"/>
    </row>
    <row r="16" spans="1:5" x14ac:dyDescent="0.3">
      <c r="A16" s="2"/>
      <c r="B16" s="2"/>
      <c r="C16" s="2"/>
      <c r="D16" s="2"/>
      <c r="E16" s="2"/>
    </row>
    <row r="17" spans="1:5" x14ac:dyDescent="0.3">
      <c r="A17" s="2"/>
      <c r="B17" s="2"/>
      <c r="C17" s="2"/>
      <c r="D17" s="2"/>
      <c r="E17" s="2"/>
    </row>
    <row r="18" spans="1:5" ht="16.2" thickBot="1" x14ac:dyDescent="0.35">
      <c r="A18" s="75" t="s">
        <v>36</v>
      </c>
      <c r="B18" s="75"/>
      <c r="C18" s="2"/>
      <c r="D18" s="2"/>
      <c r="E18" s="2"/>
    </row>
    <row r="19" spans="1:5" ht="16.8" thickTop="1" thickBot="1" x14ac:dyDescent="0.35">
      <c r="A19" s="75" t="s">
        <v>43</v>
      </c>
      <c r="B19" s="75"/>
      <c r="C19" s="16"/>
      <c r="D19" s="16"/>
      <c r="E19" s="16"/>
    </row>
    <row r="20" spans="1:5" ht="31.8" thickTop="1" x14ac:dyDescent="0.3">
      <c r="A20" s="7" t="s">
        <v>16</v>
      </c>
      <c r="B20" s="8" t="s">
        <v>13</v>
      </c>
      <c r="C20" s="16"/>
      <c r="D20" s="16"/>
      <c r="E20" s="16"/>
    </row>
    <row r="21" spans="1:5" ht="15.6" x14ac:dyDescent="0.3">
      <c r="A21" s="3">
        <v>3</v>
      </c>
      <c r="B21" s="3">
        <v>150</v>
      </c>
      <c r="C21" s="15"/>
      <c r="D21" s="13"/>
      <c r="E21" s="13"/>
    </row>
    <row r="22" spans="1:5" x14ac:dyDescent="0.3">
      <c r="A22" s="3">
        <v>6</v>
      </c>
      <c r="B22" s="3">
        <v>300</v>
      </c>
      <c r="C22" s="1"/>
      <c r="D22" s="1"/>
      <c r="E22" s="1"/>
    </row>
    <row r="23" spans="1:5" x14ac:dyDescent="0.3">
      <c r="A23" s="3">
        <v>8</v>
      </c>
      <c r="B23" s="3">
        <v>300</v>
      </c>
      <c r="C23" s="1"/>
      <c r="D23" s="1"/>
      <c r="E23" s="1"/>
    </row>
    <row r="24" spans="1:5" x14ac:dyDescent="0.3">
      <c r="A24" s="3">
        <v>10</v>
      </c>
      <c r="B24" s="3">
        <v>250</v>
      </c>
      <c r="C24" s="1"/>
      <c r="D24" s="1"/>
      <c r="E24" s="1"/>
    </row>
    <row r="25" spans="1:5" x14ac:dyDescent="0.3">
      <c r="A25" s="3" t="s">
        <v>1</v>
      </c>
      <c r="B25" s="3">
        <f>SUM(B21:B24)</f>
        <v>1000</v>
      </c>
      <c r="C25" s="1"/>
      <c r="D25" s="1"/>
      <c r="E25" s="1"/>
    </row>
    <row r="26" spans="1:5" x14ac:dyDescent="0.3">
      <c r="A26" s="2"/>
      <c r="B26" s="2"/>
      <c r="C26" s="1"/>
      <c r="D26" s="1"/>
      <c r="E26" s="1"/>
    </row>
    <row r="27" spans="1:5" ht="16.2" thickBot="1" x14ac:dyDescent="0.35">
      <c r="A27" s="74" t="s">
        <v>37</v>
      </c>
      <c r="B27" s="74"/>
      <c r="C27" s="2"/>
      <c r="D27" s="2"/>
      <c r="E27" s="2"/>
    </row>
    <row r="28" spans="1:5" ht="16.2" customHeight="1" thickTop="1" thickBot="1" x14ac:dyDescent="0.35">
      <c r="A28" s="74" t="s">
        <v>55</v>
      </c>
      <c r="B28" s="74"/>
      <c r="C28" s="13"/>
    </row>
    <row r="29" spans="1:5" ht="31.8" thickTop="1" x14ac:dyDescent="0.3">
      <c r="A29" s="8" t="s">
        <v>54</v>
      </c>
      <c r="B29" s="8" t="s">
        <v>13</v>
      </c>
      <c r="C29" s="1"/>
    </row>
    <row r="30" spans="1:5" ht="15.6" x14ac:dyDescent="0.3">
      <c r="A30" s="3">
        <v>0.2</v>
      </c>
      <c r="B30" s="3">
        <v>550</v>
      </c>
      <c r="C30" s="16"/>
      <c r="D30" s="16"/>
      <c r="E30" s="16"/>
    </row>
    <row r="31" spans="1:5" ht="15.6" x14ac:dyDescent="0.3">
      <c r="A31" s="3">
        <v>0.4</v>
      </c>
      <c r="B31" s="3">
        <v>250</v>
      </c>
      <c r="C31" s="16"/>
      <c r="D31" s="16"/>
      <c r="E31" s="16"/>
    </row>
    <row r="32" spans="1:5" ht="15.6" x14ac:dyDescent="0.3">
      <c r="A32" s="3">
        <v>0.5</v>
      </c>
      <c r="B32" s="3">
        <v>120</v>
      </c>
      <c r="C32" s="15"/>
      <c r="D32" s="13"/>
      <c r="E32" s="13"/>
    </row>
    <row r="33" spans="1:5" x14ac:dyDescent="0.3">
      <c r="A33" s="3">
        <v>0.6</v>
      </c>
      <c r="B33" s="3">
        <v>50</v>
      </c>
      <c r="C33" s="1"/>
      <c r="D33" s="1"/>
      <c r="E33" s="1"/>
    </row>
    <row r="34" spans="1:5" x14ac:dyDescent="0.3">
      <c r="A34" s="3">
        <v>0.8</v>
      </c>
      <c r="B34" s="3">
        <v>20</v>
      </c>
      <c r="C34" s="1"/>
      <c r="D34" s="1"/>
      <c r="E34" s="1"/>
    </row>
    <row r="35" spans="1:5" x14ac:dyDescent="0.3">
      <c r="A35" s="3">
        <v>1</v>
      </c>
      <c r="B35" s="3">
        <v>10</v>
      </c>
      <c r="C35" s="1"/>
      <c r="D35" s="1"/>
      <c r="E35" s="1"/>
    </row>
    <row r="36" spans="1:5" x14ac:dyDescent="0.3">
      <c r="A36" s="6" t="s">
        <v>1</v>
      </c>
      <c r="B36" s="6">
        <f>SUM(B30:B35)</f>
        <v>1000</v>
      </c>
      <c r="C36" s="1"/>
      <c r="D36" s="1"/>
      <c r="E36" s="1"/>
    </row>
    <row r="40" spans="1:5" ht="16.2" thickBot="1" x14ac:dyDescent="0.35">
      <c r="A40" s="74" t="s">
        <v>38</v>
      </c>
      <c r="B40" s="74"/>
    </row>
    <row r="41" spans="1:5" ht="15" thickTop="1" x14ac:dyDescent="0.3">
      <c r="A41" s="9" t="s">
        <v>8</v>
      </c>
      <c r="B41" s="4">
        <f>100</f>
        <v>100</v>
      </c>
    </row>
    <row r="42" spans="1:5" x14ac:dyDescent="0.3">
      <c r="A42" s="9" t="s">
        <v>9</v>
      </c>
      <c r="B42" s="5">
        <v>1</v>
      </c>
    </row>
    <row r="43" spans="1:5" x14ac:dyDescent="0.3">
      <c r="A43" s="9" t="s">
        <v>35</v>
      </c>
      <c r="B43" s="4">
        <v>0.8</v>
      </c>
    </row>
    <row r="44" spans="1:5" x14ac:dyDescent="0.3">
      <c r="A44" s="9" t="s">
        <v>10</v>
      </c>
      <c r="B44" s="4">
        <v>0.3</v>
      </c>
    </row>
    <row r="45" spans="1:5" x14ac:dyDescent="0.3">
      <c r="A45" s="9" t="s">
        <v>11</v>
      </c>
      <c r="B45" s="4">
        <v>0.1</v>
      </c>
    </row>
    <row r="46" spans="1:5" x14ac:dyDescent="0.3">
      <c r="A46" s="26" t="s">
        <v>45</v>
      </c>
      <c r="B46" s="26">
        <v>0.75</v>
      </c>
    </row>
    <row r="47" spans="1:5" x14ac:dyDescent="0.3">
      <c r="A47" s="4" t="s">
        <v>6</v>
      </c>
      <c r="B47" s="4">
        <v>200</v>
      </c>
    </row>
    <row r="48" spans="1:5" x14ac:dyDescent="0.3">
      <c r="A48" s="4" t="s">
        <v>7</v>
      </c>
      <c r="B48" s="4">
        <v>15</v>
      </c>
    </row>
    <row r="49" spans="1:2" x14ac:dyDescent="0.3">
      <c r="A49" s="4" t="s">
        <v>31</v>
      </c>
      <c r="B49" s="4">
        <v>400</v>
      </c>
    </row>
    <row r="50" spans="1:2" x14ac:dyDescent="0.3">
      <c r="A50" s="4" t="s">
        <v>25</v>
      </c>
      <c r="B50" s="4">
        <v>120</v>
      </c>
    </row>
    <row r="51" spans="1:2" x14ac:dyDescent="0.3">
      <c r="A51" s="4" t="s">
        <v>30</v>
      </c>
      <c r="B51" s="4">
        <v>0.3</v>
      </c>
    </row>
  </sheetData>
  <mergeCells count="7">
    <mergeCell ref="A40:B40"/>
    <mergeCell ref="A6:B6"/>
    <mergeCell ref="A7:B7"/>
    <mergeCell ref="A19:B19"/>
    <mergeCell ref="A28:B28"/>
    <mergeCell ref="A18:B18"/>
    <mergeCell ref="A27:B2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5F6F2-A5A6-4428-832A-E57AA8AD11BF}">
  <dimension ref="A1:AG214"/>
  <sheetViews>
    <sheetView topLeftCell="T1" zoomScale="42" zoomScaleNormal="76" workbookViewId="0">
      <pane ySplit="1" topLeftCell="A178" activePane="bottomLeft" state="frozen"/>
      <selection activeCell="AB1" sqref="AB1"/>
      <selection pane="bottomLeft" activeCell="AF218" sqref="AF218"/>
    </sheetView>
  </sheetViews>
  <sheetFormatPr defaultRowHeight="14.4" x14ac:dyDescent="0.3"/>
  <cols>
    <col min="1" max="1" width="31.44140625" style="18" customWidth="1"/>
    <col min="2" max="2" width="17.5546875" style="18" customWidth="1"/>
    <col min="3" max="3" width="13.44140625" style="18" customWidth="1"/>
    <col min="4" max="4" width="9.77734375" style="18" customWidth="1"/>
    <col min="5" max="5" width="27.6640625" style="18" customWidth="1"/>
    <col min="6" max="6" width="19.21875" style="18" customWidth="1"/>
    <col min="7" max="8" width="8.88671875" style="18"/>
    <col min="9" max="9" width="35.77734375" style="18" bestFit="1" customWidth="1"/>
    <col min="10" max="10" width="11.44140625" style="18" customWidth="1"/>
    <col min="11" max="12" width="8.88671875" style="18"/>
    <col min="13" max="13" width="15.33203125" style="18" bestFit="1" customWidth="1"/>
    <col min="14" max="14" width="27.33203125" style="18" customWidth="1"/>
    <col min="15" max="15" width="27.21875" style="18" customWidth="1"/>
    <col min="16" max="16" width="34.33203125" style="18" customWidth="1"/>
    <col min="17" max="17" width="34.109375" style="18" customWidth="1"/>
    <col min="18" max="18" width="44.44140625" style="18" customWidth="1"/>
    <col min="19" max="19" width="26.88671875" style="18" customWidth="1"/>
    <col min="20" max="20" width="42.21875" style="18" customWidth="1"/>
    <col min="21" max="21" width="20.109375" style="27" customWidth="1"/>
    <col min="22" max="22" width="15" style="18" customWidth="1"/>
    <col min="23" max="23" width="25.88671875" style="18" customWidth="1"/>
    <col min="24" max="24" width="43.21875" style="18" customWidth="1"/>
    <col min="25" max="25" width="26.21875" style="18" customWidth="1"/>
    <col min="26" max="26" width="23.5546875" style="18" customWidth="1"/>
    <col min="27" max="27" width="46.6640625" style="18" customWidth="1"/>
    <col min="28" max="28" width="39" style="18" customWidth="1"/>
    <col min="29" max="30" width="26.6640625" style="18" customWidth="1"/>
    <col min="31" max="31" width="40.5546875" style="18" customWidth="1"/>
    <col min="32" max="32" width="44.77734375" style="18" customWidth="1"/>
    <col min="33" max="33" width="37.77734375" style="18" bestFit="1" customWidth="1"/>
    <col min="34" max="34" width="21.77734375" style="18" customWidth="1"/>
    <col min="35" max="35" width="38.44140625" style="18" customWidth="1"/>
    <col min="36" max="16384" width="8.88671875" style="18"/>
  </cols>
  <sheetData>
    <row r="1" spans="1:33" ht="70.8" thickBot="1" x14ac:dyDescent="0.35">
      <c r="A1" s="68" t="s">
        <v>39</v>
      </c>
      <c r="B1" s="68"/>
      <c r="C1" s="68"/>
      <c r="D1" s="68"/>
      <c r="E1" s="68"/>
      <c r="F1" s="19"/>
      <c r="I1" s="69" t="s">
        <v>38</v>
      </c>
      <c r="J1" s="69"/>
      <c r="M1" s="20" t="s">
        <v>34</v>
      </c>
      <c r="N1" s="20" t="s">
        <v>50</v>
      </c>
      <c r="O1" s="52" t="s">
        <v>51</v>
      </c>
      <c r="P1" s="21" t="s">
        <v>58</v>
      </c>
      <c r="Q1" s="21" t="s">
        <v>59</v>
      </c>
      <c r="R1" s="21" t="s">
        <v>52</v>
      </c>
      <c r="S1" s="21" t="s">
        <v>60</v>
      </c>
      <c r="T1" s="21" t="s">
        <v>53</v>
      </c>
      <c r="U1" s="22" t="s">
        <v>17</v>
      </c>
      <c r="V1" s="21" t="s">
        <v>18</v>
      </c>
      <c r="W1" s="21" t="s">
        <v>19</v>
      </c>
      <c r="X1" s="21" t="s">
        <v>20</v>
      </c>
      <c r="Y1" s="21" t="s">
        <v>21</v>
      </c>
      <c r="Z1" s="21" t="s">
        <v>22</v>
      </c>
      <c r="AA1" s="21" t="s">
        <v>46</v>
      </c>
      <c r="AB1" s="21" t="s">
        <v>23</v>
      </c>
      <c r="AC1" s="21" t="s">
        <v>24</v>
      </c>
      <c r="AD1" s="21" t="s">
        <v>29</v>
      </c>
      <c r="AE1" s="21" t="s">
        <v>26</v>
      </c>
      <c r="AF1" s="21" t="s">
        <v>28</v>
      </c>
      <c r="AG1" s="21" t="s">
        <v>27</v>
      </c>
    </row>
    <row r="2" spans="1:33" ht="44.4" customHeight="1" thickTop="1" x14ac:dyDescent="0.3">
      <c r="A2" s="23" t="s">
        <v>16</v>
      </c>
      <c r="B2" s="24" t="s">
        <v>13</v>
      </c>
      <c r="C2" s="24" t="s">
        <v>0</v>
      </c>
      <c r="D2" s="24" t="s">
        <v>14</v>
      </c>
      <c r="E2" s="24" t="s">
        <v>15</v>
      </c>
      <c r="I2" s="25" t="s">
        <v>8</v>
      </c>
      <c r="J2" s="47">
        <f>100</f>
        <v>100</v>
      </c>
      <c r="M2" s="49">
        <v>1</v>
      </c>
      <c r="N2" s="50">
        <f ca="1">RANDBETWEEN(1,100)</f>
        <v>79</v>
      </c>
      <c r="O2" s="50">
        <f ca="1">LOOKUP(N2,$D$3:$E$8,$A$3:$A$8)</f>
        <v>12</v>
      </c>
      <c r="P2" s="50">
        <v>0</v>
      </c>
      <c r="Q2" s="50">
        <f ca="1">O2+P2</f>
        <v>12</v>
      </c>
      <c r="R2" s="50">
        <f ca="1">RANDBETWEEN(1,100)</f>
        <v>38</v>
      </c>
      <c r="S2" s="50">
        <f t="shared" ref="S2:S33" ca="1" si="0">MIN(Q2,LOOKUP(R2,$D$15:$E$18,$A$15:$A$18))</f>
        <v>4</v>
      </c>
      <c r="T2" s="50">
        <f t="shared" ref="T2:T33" ca="1" si="1">IF(W2&lt;&gt;"-",Q2-S2-W2,Q2-S2)</f>
        <v>8</v>
      </c>
      <c r="U2" s="27">
        <f t="shared" ref="U2:U33" ca="1" si="2">Q2/($J$2*V2)</f>
        <v>0.12</v>
      </c>
      <c r="V2" s="50">
        <f>J3</f>
        <v>1</v>
      </c>
      <c r="W2" s="50" t="str">
        <f t="shared" ref="W2:W33" ca="1" si="3">IF(U2&gt;=$J$7,Q2*$J$6,"-")</f>
        <v>-</v>
      </c>
      <c r="X2" s="50">
        <f ca="1">RANDBETWEEN(1,100)</f>
        <v>75</v>
      </c>
      <c r="Y2" s="50">
        <f ca="1">ROUND(LOOKUP(X2,$D$24:$E$29,$A$24:$A$29)*S2, 0)</f>
        <v>2</v>
      </c>
      <c r="Z2" s="18">
        <f ca="1">Y2*$J$10</f>
        <v>800</v>
      </c>
      <c r="AA2" s="50">
        <f ca="1">RANDBETWEEN(1,100)</f>
        <v>94</v>
      </c>
      <c r="AB2" s="50" t="str">
        <f t="shared" ref="AB2:AB33" ca="1" si="4">IF(W2&lt;&gt;"-",LOOKUP(AA2,$D$24:$E$29,$A$24:$A$29)*W2,"-")</f>
        <v>-</v>
      </c>
      <c r="AC2" s="18" t="str">
        <f t="shared" ref="AC2:AC33" ca="1" si="5">IF(AB2&lt;&gt;"-",AB2*$J$10,"0")</f>
        <v>0</v>
      </c>
      <c r="AD2" s="18">
        <f t="shared" ref="AD2:AD33" ca="1" si="6">Z2*$J$12</f>
        <v>240</v>
      </c>
      <c r="AE2" s="18">
        <f>$J$11</f>
        <v>120</v>
      </c>
      <c r="AF2" s="18">
        <f>$J$9*V2+J8*V2</f>
        <v>215</v>
      </c>
      <c r="AG2" s="18">
        <f t="shared" ref="AG2:AG65" ca="1" si="7">AC2+AE2+AF2+AD2</f>
        <v>575</v>
      </c>
    </row>
    <row r="3" spans="1:33" ht="39" customHeight="1" x14ac:dyDescent="0.3">
      <c r="A3" s="45">
        <v>5</v>
      </c>
      <c r="B3" s="45">
        <v>450</v>
      </c>
      <c r="C3" s="28">
        <f t="shared" ref="C3:C8" si="8">B3/$B$9</f>
        <v>0.45</v>
      </c>
      <c r="D3" s="45">
        <v>1</v>
      </c>
      <c r="E3" s="45">
        <f t="shared" ref="E3:E8" si="9">D3+(C3*100)-1</f>
        <v>45</v>
      </c>
      <c r="I3" s="25" t="s">
        <v>9</v>
      </c>
      <c r="J3" s="48">
        <v>1</v>
      </c>
      <c r="M3" s="49">
        <v>2</v>
      </c>
      <c r="N3" s="50">
        <f t="shared" ref="N3:N66" ca="1" si="10">RANDBETWEEN(1,100)</f>
        <v>92</v>
      </c>
      <c r="O3" s="50">
        <f t="shared" ref="O3:O66" ca="1" si="11">LOOKUP(N3,$D$3:$E$8,$A$3:$A$8)</f>
        <v>15</v>
      </c>
      <c r="P3" s="50">
        <f ca="1">T2</f>
        <v>8</v>
      </c>
      <c r="Q3" s="50">
        <f t="shared" ref="Q3:Q66" ca="1" si="12">O3+P3</f>
        <v>23</v>
      </c>
      <c r="R3" s="50">
        <f t="shared" ref="R3:R66" ca="1" si="13">RANDBETWEEN(1,100)</f>
        <v>56</v>
      </c>
      <c r="S3" s="50">
        <f t="shared" ca="1" si="0"/>
        <v>6</v>
      </c>
      <c r="T3" s="50">
        <f t="shared" ca="1" si="1"/>
        <v>17</v>
      </c>
      <c r="U3" s="27">
        <f t="shared" ca="1" si="2"/>
        <v>0.23</v>
      </c>
      <c r="V3" s="50">
        <f ca="1">IF(U2&gt;$J$4,V2+1,IF(AND(U2&lt;$J$5,V2&lt;&gt;1),V2-1,V2))</f>
        <v>1</v>
      </c>
      <c r="W3" s="50" t="str">
        <f t="shared" ca="1" si="3"/>
        <v>-</v>
      </c>
      <c r="X3" s="50">
        <f t="shared" ref="X3:X66" ca="1" si="14">RANDBETWEEN(1,100)</f>
        <v>78</v>
      </c>
      <c r="Y3" s="50">
        <f t="shared" ref="Y3:Y66" ca="1" si="15">ROUND(LOOKUP(X3,$D$24:$E$29,$A$24:$A$29)*S3, 0)</f>
        <v>2</v>
      </c>
      <c r="Z3" s="18">
        <f t="shared" ref="Z3:Z66" ca="1" si="16">Y3*$J$10</f>
        <v>800</v>
      </c>
      <c r="AA3" s="50">
        <f t="shared" ref="AA3:AA66" ca="1" si="17">RANDBETWEEN(1,100)</f>
        <v>46</v>
      </c>
      <c r="AB3" s="50" t="str">
        <f t="shared" ca="1" si="4"/>
        <v>-</v>
      </c>
      <c r="AC3" s="18" t="str">
        <f t="shared" ca="1" si="5"/>
        <v>0</v>
      </c>
      <c r="AD3" s="18">
        <f t="shared" ca="1" si="6"/>
        <v>240</v>
      </c>
      <c r="AE3" s="18">
        <f t="shared" ref="AE3:AE66" si="18">$J$11</f>
        <v>120</v>
      </c>
      <c r="AF3" s="18">
        <f t="shared" ref="AF3:AF34" ca="1" si="19">IF(V3&gt;V2,($J$9*V3)+$J$8*(V3-V2),$J$9*V3)</f>
        <v>15</v>
      </c>
      <c r="AG3" s="18">
        <f t="shared" ca="1" si="7"/>
        <v>375</v>
      </c>
    </row>
    <row r="4" spans="1:33" ht="27.6" customHeight="1" x14ac:dyDescent="0.3">
      <c r="A4" s="45">
        <v>8</v>
      </c>
      <c r="B4" s="45">
        <v>300</v>
      </c>
      <c r="C4" s="28">
        <f t="shared" si="8"/>
        <v>0.3</v>
      </c>
      <c r="D4" s="45">
        <f>E3+1</f>
        <v>46</v>
      </c>
      <c r="E4" s="45">
        <f t="shared" si="9"/>
        <v>75</v>
      </c>
      <c r="I4" s="25" t="s">
        <v>5</v>
      </c>
      <c r="J4" s="26">
        <v>0.8</v>
      </c>
      <c r="M4" s="49">
        <v>3</v>
      </c>
      <c r="N4" s="50">
        <f t="shared" ca="1" si="10"/>
        <v>51</v>
      </c>
      <c r="O4" s="50">
        <f t="shared" ca="1" si="11"/>
        <v>8</v>
      </c>
      <c r="P4" s="50">
        <f t="shared" ref="P4:P67" ca="1" si="20">T3</f>
        <v>17</v>
      </c>
      <c r="Q4" s="50">
        <f t="shared" ca="1" si="12"/>
        <v>25</v>
      </c>
      <c r="R4" s="50">
        <f t="shared" ca="1" si="13"/>
        <v>92</v>
      </c>
      <c r="S4" s="50">
        <f t="shared" ca="1" si="0"/>
        <v>8</v>
      </c>
      <c r="T4" s="50">
        <f t="shared" ca="1" si="1"/>
        <v>17</v>
      </c>
      <c r="U4" s="27">
        <f t="shared" ca="1" si="2"/>
        <v>0.25</v>
      </c>
      <c r="V4" s="50">
        <f t="shared" ref="V4:V67" ca="1" si="21">IF(U3&gt;$J$4,V3+1,IF(AND(U3&lt;$J$5,V3&lt;&gt;1),V3-1,V3))</f>
        <v>1</v>
      </c>
      <c r="W4" s="50" t="str">
        <f t="shared" ca="1" si="3"/>
        <v>-</v>
      </c>
      <c r="X4" s="50">
        <f t="shared" ca="1" si="14"/>
        <v>47</v>
      </c>
      <c r="Y4" s="50">
        <f t="shared" ca="1" si="15"/>
        <v>2</v>
      </c>
      <c r="Z4" s="18">
        <f t="shared" ca="1" si="16"/>
        <v>800</v>
      </c>
      <c r="AA4" s="50">
        <f t="shared" ca="1" si="17"/>
        <v>20</v>
      </c>
      <c r="AB4" s="50" t="str">
        <f t="shared" ca="1" si="4"/>
        <v>-</v>
      </c>
      <c r="AC4" s="18" t="str">
        <f t="shared" ca="1" si="5"/>
        <v>0</v>
      </c>
      <c r="AD4" s="18">
        <f t="shared" ca="1" si="6"/>
        <v>240</v>
      </c>
      <c r="AE4" s="18">
        <f t="shared" si="18"/>
        <v>120</v>
      </c>
      <c r="AF4" s="18">
        <f t="shared" ca="1" si="19"/>
        <v>15</v>
      </c>
      <c r="AG4" s="18">
        <f t="shared" ca="1" si="7"/>
        <v>375</v>
      </c>
    </row>
    <row r="5" spans="1:33" ht="36.6" customHeight="1" x14ac:dyDescent="0.3">
      <c r="A5" s="45">
        <v>12</v>
      </c>
      <c r="B5" s="45">
        <v>120</v>
      </c>
      <c r="C5" s="28">
        <f t="shared" si="8"/>
        <v>0.12</v>
      </c>
      <c r="D5" s="45">
        <f>E4+1</f>
        <v>76</v>
      </c>
      <c r="E5" s="45">
        <f t="shared" si="9"/>
        <v>87</v>
      </c>
      <c r="I5" s="25" t="s">
        <v>10</v>
      </c>
      <c r="J5" s="26">
        <v>0.3</v>
      </c>
      <c r="M5" s="49">
        <v>4</v>
      </c>
      <c r="N5" s="50">
        <f t="shared" ca="1" si="10"/>
        <v>82</v>
      </c>
      <c r="O5" s="50">
        <f t="shared" ca="1" si="11"/>
        <v>12</v>
      </c>
      <c r="P5" s="50">
        <f t="shared" ca="1" si="20"/>
        <v>17</v>
      </c>
      <c r="Q5" s="50">
        <f t="shared" ca="1" si="12"/>
        <v>29</v>
      </c>
      <c r="R5" s="50">
        <f t="shared" ca="1" si="13"/>
        <v>60</v>
      </c>
      <c r="S5" s="50">
        <f t="shared" ca="1" si="0"/>
        <v>6</v>
      </c>
      <c r="T5" s="50">
        <f t="shared" ca="1" si="1"/>
        <v>23</v>
      </c>
      <c r="U5" s="27">
        <f t="shared" ca="1" si="2"/>
        <v>0.28999999999999998</v>
      </c>
      <c r="V5" s="50">
        <f t="shared" ca="1" si="21"/>
        <v>1</v>
      </c>
      <c r="W5" s="50" t="str">
        <f t="shared" ca="1" si="3"/>
        <v>-</v>
      </c>
      <c r="X5" s="50">
        <f t="shared" ca="1" si="14"/>
        <v>83</v>
      </c>
      <c r="Y5" s="50">
        <f t="shared" ca="1" si="15"/>
        <v>3</v>
      </c>
      <c r="Z5" s="18">
        <f t="shared" ca="1" si="16"/>
        <v>1200</v>
      </c>
      <c r="AA5" s="50">
        <f t="shared" ca="1" si="17"/>
        <v>95</v>
      </c>
      <c r="AB5" s="50" t="str">
        <f t="shared" ca="1" si="4"/>
        <v>-</v>
      </c>
      <c r="AC5" s="18" t="str">
        <f t="shared" ca="1" si="5"/>
        <v>0</v>
      </c>
      <c r="AD5" s="18">
        <f t="shared" ca="1" si="6"/>
        <v>360</v>
      </c>
      <c r="AE5" s="18">
        <f t="shared" si="18"/>
        <v>120</v>
      </c>
      <c r="AF5" s="18">
        <f t="shared" ca="1" si="19"/>
        <v>15</v>
      </c>
      <c r="AG5" s="18">
        <f t="shared" ca="1" si="7"/>
        <v>495</v>
      </c>
    </row>
    <row r="6" spans="1:33" ht="19.8" customHeight="1" x14ac:dyDescent="0.3">
      <c r="A6" s="45">
        <v>15</v>
      </c>
      <c r="B6" s="45">
        <v>80</v>
      </c>
      <c r="C6" s="28">
        <f t="shared" si="8"/>
        <v>0.08</v>
      </c>
      <c r="D6" s="45">
        <f>E5+1</f>
        <v>88</v>
      </c>
      <c r="E6" s="45">
        <f t="shared" si="9"/>
        <v>95</v>
      </c>
      <c r="I6" s="25" t="s">
        <v>11</v>
      </c>
      <c r="J6" s="26">
        <v>0.1</v>
      </c>
      <c r="M6" s="49">
        <v>5</v>
      </c>
      <c r="N6" s="50">
        <f t="shared" ca="1" si="10"/>
        <v>92</v>
      </c>
      <c r="O6" s="50">
        <f t="shared" ca="1" si="11"/>
        <v>15</v>
      </c>
      <c r="P6" s="50">
        <f t="shared" ca="1" si="20"/>
        <v>23</v>
      </c>
      <c r="Q6" s="50">
        <f t="shared" ca="1" si="12"/>
        <v>38</v>
      </c>
      <c r="R6" s="50">
        <f t="shared" ca="1" si="13"/>
        <v>91</v>
      </c>
      <c r="S6" s="50">
        <f t="shared" ca="1" si="0"/>
        <v>8</v>
      </c>
      <c r="T6" s="50">
        <f t="shared" ca="1" si="1"/>
        <v>30</v>
      </c>
      <c r="U6" s="27">
        <f t="shared" ca="1" si="2"/>
        <v>0.38</v>
      </c>
      <c r="V6" s="50">
        <f t="shared" ca="1" si="21"/>
        <v>1</v>
      </c>
      <c r="W6" s="50" t="str">
        <f t="shared" ca="1" si="3"/>
        <v>-</v>
      </c>
      <c r="X6" s="50">
        <f t="shared" ca="1" si="14"/>
        <v>25</v>
      </c>
      <c r="Y6" s="50">
        <f t="shared" ca="1" si="15"/>
        <v>2</v>
      </c>
      <c r="Z6" s="18">
        <f t="shared" ca="1" si="16"/>
        <v>800</v>
      </c>
      <c r="AA6" s="50">
        <f t="shared" ca="1" si="17"/>
        <v>3</v>
      </c>
      <c r="AB6" s="50" t="str">
        <f t="shared" ca="1" si="4"/>
        <v>-</v>
      </c>
      <c r="AC6" s="18" t="str">
        <f t="shared" ca="1" si="5"/>
        <v>0</v>
      </c>
      <c r="AD6" s="18">
        <f t="shared" ca="1" si="6"/>
        <v>240</v>
      </c>
      <c r="AE6" s="18">
        <f t="shared" si="18"/>
        <v>120</v>
      </c>
      <c r="AF6" s="18">
        <f t="shared" ca="1" si="19"/>
        <v>15</v>
      </c>
      <c r="AG6" s="18">
        <f t="shared" ca="1" si="7"/>
        <v>375</v>
      </c>
    </row>
    <row r="7" spans="1:33" ht="24.6" customHeight="1" x14ac:dyDescent="0.3">
      <c r="A7" s="45">
        <v>18</v>
      </c>
      <c r="B7" s="45">
        <v>30</v>
      </c>
      <c r="C7" s="28">
        <f t="shared" si="8"/>
        <v>0.03</v>
      </c>
      <c r="D7" s="45">
        <f>E6+1</f>
        <v>96</v>
      </c>
      <c r="E7" s="45">
        <f t="shared" si="9"/>
        <v>98</v>
      </c>
      <c r="I7" s="26" t="s">
        <v>45</v>
      </c>
      <c r="J7" s="26">
        <v>0.75</v>
      </c>
      <c r="M7" s="49">
        <v>6</v>
      </c>
      <c r="N7" s="50">
        <f t="shared" ca="1" si="10"/>
        <v>12</v>
      </c>
      <c r="O7" s="50">
        <f t="shared" ca="1" si="11"/>
        <v>5</v>
      </c>
      <c r="P7" s="50">
        <f t="shared" ca="1" si="20"/>
        <v>30</v>
      </c>
      <c r="Q7" s="50">
        <f t="shared" ca="1" si="12"/>
        <v>35</v>
      </c>
      <c r="R7" s="50">
        <f t="shared" ca="1" si="13"/>
        <v>13</v>
      </c>
      <c r="S7" s="50">
        <f t="shared" ca="1" si="0"/>
        <v>2</v>
      </c>
      <c r="T7" s="50">
        <f t="shared" ca="1" si="1"/>
        <v>33</v>
      </c>
      <c r="U7" s="27">
        <f t="shared" ca="1" si="2"/>
        <v>0.35</v>
      </c>
      <c r="V7" s="50">
        <f t="shared" ca="1" si="21"/>
        <v>1</v>
      </c>
      <c r="W7" s="50" t="str">
        <f t="shared" ca="1" si="3"/>
        <v>-</v>
      </c>
      <c r="X7" s="50">
        <f t="shared" ca="1" si="14"/>
        <v>87</v>
      </c>
      <c r="Y7" s="50">
        <f t="shared" ca="1" si="15"/>
        <v>1</v>
      </c>
      <c r="Z7" s="18">
        <f t="shared" ca="1" si="16"/>
        <v>400</v>
      </c>
      <c r="AA7" s="50">
        <f t="shared" ca="1" si="17"/>
        <v>34</v>
      </c>
      <c r="AB7" s="50" t="str">
        <f t="shared" ca="1" si="4"/>
        <v>-</v>
      </c>
      <c r="AC7" s="18" t="str">
        <f t="shared" ca="1" si="5"/>
        <v>0</v>
      </c>
      <c r="AD7" s="18">
        <f t="shared" ca="1" si="6"/>
        <v>120</v>
      </c>
      <c r="AE7" s="18">
        <f t="shared" si="18"/>
        <v>120</v>
      </c>
      <c r="AF7" s="18">
        <f t="shared" ca="1" si="19"/>
        <v>15</v>
      </c>
      <c r="AG7" s="18">
        <f t="shared" ca="1" si="7"/>
        <v>255</v>
      </c>
    </row>
    <row r="8" spans="1:33" ht="18" customHeight="1" x14ac:dyDescent="0.3">
      <c r="A8" s="45">
        <v>20</v>
      </c>
      <c r="B8" s="45">
        <v>20</v>
      </c>
      <c r="C8" s="28">
        <f t="shared" si="8"/>
        <v>0.02</v>
      </c>
      <c r="D8" s="45">
        <f>E7+1</f>
        <v>99</v>
      </c>
      <c r="E8" s="45">
        <f t="shared" si="9"/>
        <v>100</v>
      </c>
      <c r="I8" s="26" t="s">
        <v>6</v>
      </c>
      <c r="J8" s="47">
        <v>200</v>
      </c>
      <c r="M8" s="49">
        <v>7</v>
      </c>
      <c r="N8" s="50">
        <f t="shared" ca="1" si="10"/>
        <v>93</v>
      </c>
      <c r="O8" s="50">
        <f t="shared" ca="1" si="11"/>
        <v>15</v>
      </c>
      <c r="P8" s="50">
        <f t="shared" ca="1" si="20"/>
        <v>33</v>
      </c>
      <c r="Q8" s="50">
        <f t="shared" ca="1" si="12"/>
        <v>48</v>
      </c>
      <c r="R8" s="50">
        <f t="shared" ca="1" si="13"/>
        <v>53</v>
      </c>
      <c r="S8" s="50">
        <f t="shared" ca="1" si="0"/>
        <v>6</v>
      </c>
      <c r="T8" s="50">
        <f t="shared" ca="1" si="1"/>
        <v>42</v>
      </c>
      <c r="U8" s="27">
        <f t="shared" ca="1" si="2"/>
        <v>0.48</v>
      </c>
      <c r="V8" s="50">
        <f t="shared" ca="1" si="21"/>
        <v>1</v>
      </c>
      <c r="W8" s="50" t="str">
        <f t="shared" ca="1" si="3"/>
        <v>-</v>
      </c>
      <c r="X8" s="50">
        <f t="shared" ca="1" si="14"/>
        <v>70</v>
      </c>
      <c r="Y8" s="50">
        <f t="shared" ca="1" si="15"/>
        <v>2</v>
      </c>
      <c r="Z8" s="18">
        <f t="shared" ca="1" si="16"/>
        <v>800</v>
      </c>
      <c r="AA8" s="50">
        <f t="shared" ca="1" si="17"/>
        <v>23</v>
      </c>
      <c r="AB8" s="50" t="str">
        <f t="shared" ca="1" si="4"/>
        <v>-</v>
      </c>
      <c r="AC8" s="18" t="str">
        <f t="shared" ca="1" si="5"/>
        <v>0</v>
      </c>
      <c r="AD8" s="18">
        <f t="shared" ca="1" si="6"/>
        <v>240</v>
      </c>
      <c r="AE8" s="18">
        <f t="shared" si="18"/>
        <v>120</v>
      </c>
      <c r="AF8" s="18">
        <f t="shared" ca="1" si="19"/>
        <v>15</v>
      </c>
      <c r="AG8" s="18">
        <f t="shared" ca="1" si="7"/>
        <v>375</v>
      </c>
    </row>
    <row r="9" spans="1:33" ht="19.2" customHeight="1" x14ac:dyDescent="0.3">
      <c r="A9" s="29" t="s">
        <v>1</v>
      </c>
      <c r="B9" s="46">
        <f>SUM(B3:B8)</f>
        <v>1000</v>
      </c>
      <c r="C9" s="29">
        <f>SUM(C3:C8)</f>
        <v>1</v>
      </c>
      <c r="D9" s="30"/>
      <c r="E9" s="30"/>
      <c r="I9" s="26" t="s">
        <v>7</v>
      </c>
      <c r="J9" s="47">
        <v>15</v>
      </c>
      <c r="M9" s="49">
        <v>8</v>
      </c>
      <c r="N9" s="50">
        <f t="shared" ca="1" si="10"/>
        <v>37</v>
      </c>
      <c r="O9" s="50">
        <f t="shared" ca="1" si="11"/>
        <v>5</v>
      </c>
      <c r="P9" s="50">
        <f t="shared" ca="1" si="20"/>
        <v>42</v>
      </c>
      <c r="Q9" s="50">
        <f t="shared" ca="1" si="12"/>
        <v>47</v>
      </c>
      <c r="R9" s="50">
        <f t="shared" ca="1" si="13"/>
        <v>89</v>
      </c>
      <c r="S9" s="50">
        <f t="shared" ca="1" si="0"/>
        <v>8</v>
      </c>
      <c r="T9" s="50">
        <f t="shared" ca="1" si="1"/>
        <v>39</v>
      </c>
      <c r="U9" s="27">
        <f t="shared" ca="1" si="2"/>
        <v>0.47</v>
      </c>
      <c r="V9" s="50">
        <f t="shared" ca="1" si="21"/>
        <v>1</v>
      </c>
      <c r="W9" s="50" t="str">
        <f t="shared" ca="1" si="3"/>
        <v>-</v>
      </c>
      <c r="X9" s="50">
        <f t="shared" ca="1" si="14"/>
        <v>57</v>
      </c>
      <c r="Y9" s="50">
        <f t="shared" ca="1" si="15"/>
        <v>3</v>
      </c>
      <c r="Z9" s="18">
        <f t="shared" ca="1" si="16"/>
        <v>1200</v>
      </c>
      <c r="AA9" s="50">
        <f t="shared" ca="1" si="17"/>
        <v>86</v>
      </c>
      <c r="AB9" s="50" t="str">
        <f t="shared" ca="1" si="4"/>
        <v>-</v>
      </c>
      <c r="AC9" s="18" t="str">
        <f t="shared" ca="1" si="5"/>
        <v>0</v>
      </c>
      <c r="AD9" s="18">
        <f t="shared" ca="1" si="6"/>
        <v>360</v>
      </c>
      <c r="AE9" s="18">
        <f t="shared" si="18"/>
        <v>120</v>
      </c>
      <c r="AF9" s="18">
        <f t="shared" ca="1" si="19"/>
        <v>15</v>
      </c>
      <c r="AG9" s="18">
        <f t="shared" ca="1" si="7"/>
        <v>495</v>
      </c>
    </row>
    <row r="10" spans="1:33" x14ac:dyDescent="0.3">
      <c r="I10" s="26" t="s">
        <v>31</v>
      </c>
      <c r="J10" s="47">
        <v>400</v>
      </c>
      <c r="M10" s="49">
        <v>9</v>
      </c>
      <c r="N10" s="50">
        <f t="shared" ca="1" si="10"/>
        <v>35</v>
      </c>
      <c r="O10" s="50">
        <f t="shared" ca="1" si="11"/>
        <v>5</v>
      </c>
      <c r="P10" s="50">
        <f t="shared" ca="1" si="20"/>
        <v>39</v>
      </c>
      <c r="Q10" s="50">
        <f t="shared" ca="1" si="12"/>
        <v>44</v>
      </c>
      <c r="R10" s="50">
        <f t="shared" ca="1" si="13"/>
        <v>62</v>
      </c>
      <c r="S10" s="50">
        <f t="shared" ca="1" si="0"/>
        <v>6</v>
      </c>
      <c r="T10" s="50">
        <f t="shared" ca="1" si="1"/>
        <v>38</v>
      </c>
      <c r="U10" s="27">
        <f t="shared" ca="1" si="2"/>
        <v>0.44</v>
      </c>
      <c r="V10" s="50">
        <f t="shared" ca="1" si="21"/>
        <v>1</v>
      </c>
      <c r="W10" s="50" t="str">
        <f t="shared" ca="1" si="3"/>
        <v>-</v>
      </c>
      <c r="X10" s="50">
        <f t="shared" ca="1" si="14"/>
        <v>97</v>
      </c>
      <c r="Y10" s="50">
        <f t="shared" ca="1" si="15"/>
        <v>4</v>
      </c>
      <c r="Z10" s="18">
        <f t="shared" ca="1" si="16"/>
        <v>1600</v>
      </c>
      <c r="AA10" s="50">
        <f t="shared" ca="1" si="17"/>
        <v>73</v>
      </c>
      <c r="AB10" s="50" t="str">
        <f t="shared" ca="1" si="4"/>
        <v>-</v>
      </c>
      <c r="AC10" s="18" t="str">
        <f t="shared" ca="1" si="5"/>
        <v>0</v>
      </c>
      <c r="AD10" s="18">
        <f t="shared" ca="1" si="6"/>
        <v>480</v>
      </c>
      <c r="AE10" s="18">
        <f t="shared" si="18"/>
        <v>120</v>
      </c>
      <c r="AF10" s="18">
        <f t="shared" ca="1" si="19"/>
        <v>15</v>
      </c>
      <c r="AG10" s="18">
        <f t="shared" ca="1" si="7"/>
        <v>615</v>
      </c>
    </row>
    <row r="11" spans="1:33" x14ac:dyDescent="0.3">
      <c r="I11" s="26" t="s">
        <v>25</v>
      </c>
      <c r="J11" s="47">
        <v>120</v>
      </c>
      <c r="M11" s="49">
        <v>10</v>
      </c>
      <c r="N11" s="50">
        <f t="shared" ca="1" si="10"/>
        <v>3</v>
      </c>
      <c r="O11" s="50">
        <f t="shared" ca="1" si="11"/>
        <v>5</v>
      </c>
      <c r="P11" s="50">
        <f t="shared" ca="1" si="20"/>
        <v>38</v>
      </c>
      <c r="Q11" s="50">
        <f t="shared" ca="1" si="12"/>
        <v>43</v>
      </c>
      <c r="R11" s="50">
        <f t="shared" ca="1" si="13"/>
        <v>62</v>
      </c>
      <c r="S11" s="50">
        <f t="shared" ca="1" si="0"/>
        <v>6</v>
      </c>
      <c r="T11" s="50">
        <f t="shared" ca="1" si="1"/>
        <v>37</v>
      </c>
      <c r="U11" s="27">
        <f t="shared" ca="1" si="2"/>
        <v>0.43</v>
      </c>
      <c r="V11" s="50">
        <f t="shared" ca="1" si="21"/>
        <v>1</v>
      </c>
      <c r="W11" s="50" t="str">
        <f t="shared" ca="1" si="3"/>
        <v>-</v>
      </c>
      <c r="X11" s="50">
        <f t="shared" ca="1" si="14"/>
        <v>2</v>
      </c>
      <c r="Y11" s="50">
        <f t="shared" ca="1" si="15"/>
        <v>1</v>
      </c>
      <c r="Z11" s="18">
        <f t="shared" ca="1" si="16"/>
        <v>400</v>
      </c>
      <c r="AA11" s="50">
        <f t="shared" ca="1" si="17"/>
        <v>88</v>
      </c>
      <c r="AB11" s="50" t="str">
        <f t="shared" ca="1" si="4"/>
        <v>-</v>
      </c>
      <c r="AC11" s="18" t="str">
        <f t="shared" ca="1" si="5"/>
        <v>0</v>
      </c>
      <c r="AD11" s="18">
        <f t="shared" ca="1" si="6"/>
        <v>120</v>
      </c>
      <c r="AE11" s="18">
        <f t="shared" si="18"/>
        <v>120</v>
      </c>
      <c r="AF11" s="18">
        <f t="shared" ca="1" si="19"/>
        <v>15</v>
      </c>
      <c r="AG11" s="18">
        <f t="shared" ca="1" si="7"/>
        <v>255</v>
      </c>
    </row>
    <row r="12" spans="1:33" x14ac:dyDescent="0.3">
      <c r="I12" s="26" t="s">
        <v>47</v>
      </c>
      <c r="J12" s="26">
        <v>0.3</v>
      </c>
      <c r="M12" s="49">
        <v>11</v>
      </c>
      <c r="N12" s="50">
        <f t="shared" ca="1" si="10"/>
        <v>75</v>
      </c>
      <c r="O12" s="50">
        <f t="shared" ca="1" si="11"/>
        <v>8</v>
      </c>
      <c r="P12" s="50">
        <f t="shared" ca="1" si="20"/>
        <v>37</v>
      </c>
      <c r="Q12" s="50">
        <f t="shared" ca="1" si="12"/>
        <v>45</v>
      </c>
      <c r="R12" s="50">
        <f t="shared" ca="1" si="13"/>
        <v>100</v>
      </c>
      <c r="S12" s="50">
        <f t="shared" ca="1" si="0"/>
        <v>8</v>
      </c>
      <c r="T12" s="50">
        <f t="shared" ca="1" si="1"/>
        <v>37</v>
      </c>
      <c r="U12" s="27">
        <f t="shared" ca="1" si="2"/>
        <v>0.45</v>
      </c>
      <c r="V12" s="50">
        <f t="shared" ca="1" si="21"/>
        <v>1</v>
      </c>
      <c r="W12" s="50" t="str">
        <f t="shared" ca="1" si="3"/>
        <v>-</v>
      </c>
      <c r="X12" s="50">
        <f t="shared" ca="1" si="14"/>
        <v>82</v>
      </c>
      <c r="Y12" s="50">
        <f t="shared" ca="1" si="15"/>
        <v>4</v>
      </c>
      <c r="Z12" s="18">
        <f t="shared" ca="1" si="16"/>
        <v>1600</v>
      </c>
      <c r="AA12" s="50">
        <f t="shared" ca="1" si="17"/>
        <v>17</v>
      </c>
      <c r="AB12" s="50" t="str">
        <f t="shared" ca="1" si="4"/>
        <v>-</v>
      </c>
      <c r="AC12" s="18" t="str">
        <f t="shared" ca="1" si="5"/>
        <v>0</v>
      </c>
      <c r="AD12" s="18">
        <f t="shared" ca="1" si="6"/>
        <v>480</v>
      </c>
      <c r="AE12" s="18">
        <f t="shared" si="18"/>
        <v>120</v>
      </c>
      <c r="AF12" s="18">
        <f t="shared" ca="1" si="19"/>
        <v>15</v>
      </c>
      <c r="AG12" s="18">
        <f t="shared" ca="1" si="7"/>
        <v>615</v>
      </c>
    </row>
    <row r="13" spans="1:33" ht="29.4" customHeight="1" thickBot="1" x14ac:dyDescent="0.35">
      <c r="A13" s="71" t="s">
        <v>42</v>
      </c>
      <c r="B13" s="71"/>
      <c r="C13" s="71"/>
      <c r="D13" s="71"/>
      <c r="E13" s="71"/>
      <c r="M13" s="49">
        <v>12</v>
      </c>
      <c r="N13" s="50">
        <f t="shared" ca="1" si="10"/>
        <v>87</v>
      </c>
      <c r="O13" s="50">
        <f t="shared" ca="1" si="11"/>
        <v>12</v>
      </c>
      <c r="P13" s="50">
        <f t="shared" ca="1" si="20"/>
        <v>37</v>
      </c>
      <c r="Q13" s="50">
        <f t="shared" ca="1" si="12"/>
        <v>49</v>
      </c>
      <c r="R13" s="50">
        <f t="shared" ca="1" si="13"/>
        <v>87</v>
      </c>
      <c r="S13" s="50">
        <f t="shared" ca="1" si="0"/>
        <v>8</v>
      </c>
      <c r="T13" s="50">
        <f t="shared" ca="1" si="1"/>
        <v>41</v>
      </c>
      <c r="U13" s="27">
        <f t="shared" ca="1" si="2"/>
        <v>0.49</v>
      </c>
      <c r="V13" s="50">
        <f t="shared" ca="1" si="21"/>
        <v>1</v>
      </c>
      <c r="W13" s="50" t="str">
        <f t="shared" ca="1" si="3"/>
        <v>-</v>
      </c>
      <c r="X13" s="50">
        <f t="shared" ca="1" si="14"/>
        <v>66</v>
      </c>
      <c r="Y13" s="50">
        <f t="shared" ca="1" si="15"/>
        <v>3</v>
      </c>
      <c r="Z13" s="18">
        <f t="shared" ca="1" si="16"/>
        <v>1200</v>
      </c>
      <c r="AA13" s="50">
        <f t="shared" ca="1" si="17"/>
        <v>33</v>
      </c>
      <c r="AB13" s="50" t="str">
        <f t="shared" ca="1" si="4"/>
        <v>-</v>
      </c>
      <c r="AC13" s="18" t="str">
        <f t="shared" ca="1" si="5"/>
        <v>0</v>
      </c>
      <c r="AD13" s="18">
        <f t="shared" ca="1" si="6"/>
        <v>360</v>
      </c>
      <c r="AE13" s="18">
        <f t="shared" si="18"/>
        <v>120</v>
      </c>
      <c r="AF13" s="18">
        <f t="shared" ca="1" si="19"/>
        <v>15</v>
      </c>
      <c r="AG13" s="18">
        <f t="shared" ca="1" si="7"/>
        <v>495</v>
      </c>
    </row>
    <row r="14" spans="1:33" ht="31.8" thickTop="1" x14ac:dyDescent="0.3">
      <c r="A14" s="23" t="s">
        <v>16</v>
      </c>
      <c r="B14" s="24" t="s">
        <v>13</v>
      </c>
      <c r="C14" s="31" t="s">
        <v>2</v>
      </c>
      <c r="D14" s="24" t="s">
        <v>14</v>
      </c>
      <c r="E14" s="24" t="s">
        <v>15</v>
      </c>
      <c r="M14" s="49">
        <v>13</v>
      </c>
      <c r="N14" s="50">
        <f t="shared" ca="1" si="10"/>
        <v>4</v>
      </c>
      <c r="O14" s="50">
        <f t="shared" ca="1" si="11"/>
        <v>5</v>
      </c>
      <c r="P14" s="50">
        <f t="shared" ca="1" si="20"/>
        <v>41</v>
      </c>
      <c r="Q14" s="50">
        <f t="shared" ca="1" si="12"/>
        <v>46</v>
      </c>
      <c r="R14" s="50">
        <f t="shared" ca="1" si="13"/>
        <v>86</v>
      </c>
      <c r="S14" s="50">
        <f t="shared" ca="1" si="0"/>
        <v>8</v>
      </c>
      <c r="T14" s="50">
        <f t="shared" ca="1" si="1"/>
        <v>38</v>
      </c>
      <c r="U14" s="27">
        <f t="shared" ca="1" si="2"/>
        <v>0.46</v>
      </c>
      <c r="V14" s="50">
        <f t="shared" ca="1" si="21"/>
        <v>1</v>
      </c>
      <c r="W14" s="50" t="str">
        <f t="shared" ca="1" si="3"/>
        <v>-</v>
      </c>
      <c r="X14" s="50">
        <f t="shared" ca="1" si="14"/>
        <v>2</v>
      </c>
      <c r="Y14" s="50">
        <f t="shared" ca="1" si="15"/>
        <v>2</v>
      </c>
      <c r="Z14" s="18">
        <f t="shared" ca="1" si="16"/>
        <v>800</v>
      </c>
      <c r="AA14" s="50">
        <f t="shared" ca="1" si="17"/>
        <v>42</v>
      </c>
      <c r="AB14" s="50" t="str">
        <f t="shared" ca="1" si="4"/>
        <v>-</v>
      </c>
      <c r="AC14" s="18" t="str">
        <f t="shared" ca="1" si="5"/>
        <v>0</v>
      </c>
      <c r="AD14" s="18">
        <f t="shared" ca="1" si="6"/>
        <v>240</v>
      </c>
      <c r="AE14" s="18">
        <f t="shared" si="18"/>
        <v>120</v>
      </c>
      <c r="AF14" s="18">
        <f t="shared" ca="1" si="19"/>
        <v>15</v>
      </c>
      <c r="AG14" s="18">
        <f t="shared" ca="1" si="7"/>
        <v>375</v>
      </c>
    </row>
    <row r="15" spans="1:33" x14ac:dyDescent="0.3">
      <c r="A15" s="45">
        <v>2</v>
      </c>
      <c r="B15" s="45">
        <v>150</v>
      </c>
      <c r="C15" s="29">
        <f>B15/$B$19</f>
        <v>0.15</v>
      </c>
      <c r="D15" s="45">
        <v>1</v>
      </c>
      <c r="E15" s="45">
        <f>D15+(C15*100)-1</f>
        <v>15</v>
      </c>
      <c r="M15" s="49">
        <v>14</v>
      </c>
      <c r="N15" s="50">
        <f t="shared" ca="1" si="10"/>
        <v>61</v>
      </c>
      <c r="O15" s="50">
        <f t="shared" ca="1" si="11"/>
        <v>8</v>
      </c>
      <c r="P15" s="50">
        <f t="shared" ca="1" si="20"/>
        <v>38</v>
      </c>
      <c r="Q15" s="50">
        <f t="shared" ca="1" si="12"/>
        <v>46</v>
      </c>
      <c r="R15" s="50">
        <f t="shared" ca="1" si="13"/>
        <v>76</v>
      </c>
      <c r="S15" s="50">
        <f t="shared" ca="1" si="0"/>
        <v>8</v>
      </c>
      <c r="T15" s="50">
        <f t="shared" ca="1" si="1"/>
        <v>38</v>
      </c>
      <c r="U15" s="27">
        <f t="shared" ca="1" si="2"/>
        <v>0.46</v>
      </c>
      <c r="V15" s="50">
        <f t="shared" ca="1" si="21"/>
        <v>1</v>
      </c>
      <c r="W15" s="50" t="str">
        <f t="shared" ca="1" si="3"/>
        <v>-</v>
      </c>
      <c r="X15" s="50">
        <f t="shared" ca="1" si="14"/>
        <v>82</v>
      </c>
      <c r="Y15" s="50">
        <f t="shared" ca="1" si="15"/>
        <v>4</v>
      </c>
      <c r="Z15" s="18">
        <f t="shared" ca="1" si="16"/>
        <v>1600</v>
      </c>
      <c r="AA15" s="50">
        <f t="shared" ca="1" si="17"/>
        <v>70</v>
      </c>
      <c r="AB15" s="50" t="str">
        <f t="shared" ca="1" si="4"/>
        <v>-</v>
      </c>
      <c r="AC15" s="18" t="str">
        <f t="shared" ca="1" si="5"/>
        <v>0</v>
      </c>
      <c r="AD15" s="18">
        <f t="shared" ca="1" si="6"/>
        <v>480</v>
      </c>
      <c r="AE15" s="18">
        <f t="shared" si="18"/>
        <v>120</v>
      </c>
      <c r="AF15" s="18">
        <f t="shared" ca="1" si="19"/>
        <v>15</v>
      </c>
      <c r="AG15" s="18">
        <f t="shared" ca="1" si="7"/>
        <v>615</v>
      </c>
    </row>
    <row r="16" spans="1:33" x14ac:dyDescent="0.3">
      <c r="A16" s="45">
        <v>4</v>
      </c>
      <c r="B16" s="45">
        <v>300</v>
      </c>
      <c r="C16" s="29">
        <f>B16/$B$19</f>
        <v>0.3</v>
      </c>
      <c r="D16" s="45">
        <f>E15+1</f>
        <v>16</v>
      </c>
      <c r="E16" s="45">
        <f>D16+(C16*100)-1</f>
        <v>45</v>
      </c>
      <c r="M16" s="49">
        <v>15</v>
      </c>
      <c r="N16" s="50">
        <f t="shared" ca="1" si="10"/>
        <v>44</v>
      </c>
      <c r="O16" s="50">
        <f t="shared" ca="1" si="11"/>
        <v>5</v>
      </c>
      <c r="P16" s="50">
        <f t="shared" ca="1" si="20"/>
        <v>38</v>
      </c>
      <c r="Q16" s="50">
        <f t="shared" ca="1" si="12"/>
        <v>43</v>
      </c>
      <c r="R16" s="50">
        <f t="shared" ca="1" si="13"/>
        <v>33</v>
      </c>
      <c r="S16" s="50">
        <f t="shared" ca="1" si="0"/>
        <v>4</v>
      </c>
      <c r="T16" s="50">
        <f t="shared" ca="1" si="1"/>
        <v>39</v>
      </c>
      <c r="U16" s="27">
        <f t="shared" ca="1" si="2"/>
        <v>0.43</v>
      </c>
      <c r="V16" s="50">
        <f t="shared" ca="1" si="21"/>
        <v>1</v>
      </c>
      <c r="W16" s="50" t="str">
        <f t="shared" ca="1" si="3"/>
        <v>-</v>
      </c>
      <c r="X16" s="50">
        <f t="shared" ca="1" si="14"/>
        <v>28</v>
      </c>
      <c r="Y16" s="50">
        <f t="shared" ca="1" si="15"/>
        <v>1</v>
      </c>
      <c r="Z16" s="18">
        <f t="shared" ca="1" si="16"/>
        <v>400</v>
      </c>
      <c r="AA16" s="50">
        <f t="shared" ca="1" si="17"/>
        <v>84</v>
      </c>
      <c r="AB16" s="50" t="str">
        <f t="shared" ca="1" si="4"/>
        <v>-</v>
      </c>
      <c r="AC16" s="18" t="str">
        <f t="shared" ca="1" si="5"/>
        <v>0</v>
      </c>
      <c r="AD16" s="18">
        <f t="shared" ca="1" si="6"/>
        <v>120</v>
      </c>
      <c r="AE16" s="18">
        <f t="shared" si="18"/>
        <v>120</v>
      </c>
      <c r="AF16" s="18">
        <f t="shared" ca="1" si="19"/>
        <v>15</v>
      </c>
      <c r="AG16" s="18">
        <f t="shared" ca="1" si="7"/>
        <v>255</v>
      </c>
    </row>
    <row r="17" spans="1:33" x14ac:dyDescent="0.3">
      <c r="A17" s="45">
        <v>6</v>
      </c>
      <c r="B17" s="45">
        <v>300</v>
      </c>
      <c r="C17" s="29">
        <f>B17/$B$19</f>
        <v>0.3</v>
      </c>
      <c r="D17" s="45">
        <f>E16+1</f>
        <v>46</v>
      </c>
      <c r="E17" s="45">
        <f>D17+(C17*100)-1</f>
        <v>75</v>
      </c>
      <c r="M17" s="49">
        <v>16</v>
      </c>
      <c r="N17" s="50">
        <f t="shared" ca="1" si="10"/>
        <v>35</v>
      </c>
      <c r="O17" s="50">
        <f t="shared" ca="1" si="11"/>
        <v>5</v>
      </c>
      <c r="P17" s="50">
        <f t="shared" ca="1" si="20"/>
        <v>39</v>
      </c>
      <c r="Q17" s="50">
        <f t="shared" ca="1" si="12"/>
        <v>44</v>
      </c>
      <c r="R17" s="50">
        <f t="shared" ca="1" si="13"/>
        <v>44</v>
      </c>
      <c r="S17" s="50">
        <f t="shared" ca="1" si="0"/>
        <v>4</v>
      </c>
      <c r="T17" s="50">
        <f t="shared" ca="1" si="1"/>
        <v>40</v>
      </c>
      <c r="U17" s="27">
        <f t="shared" ca="1" si="2"/>
        <v>0.44</v>
      </c>
      <c r="V17" s="50">
        <f t="shared" ca="1" si="21"/>
        <v>1</v>
      </c>
      <c r="W17" s="50" t="str">
        <f t="shared" ca="1" si="3"/>
        <v>-</v>
      </c>
      <c r="X17" s="50">
        <f t="shared" ca="1" si="14"/>
        <v>88</v>
      </c>
      <c r="Y17" s="50">
        <f t="shared" ca="1" si="15"/>
        <v>2</v>
      </c>
      <c r="Z17" s="18">
        <f t="shared" ca="1" si="16"/>
        <v>800</v>
      </c>
      <c r="AA17" s="50">
        <f t="shared" ca="1" si="17"/>
        <v>38</v>
      </c>
      <c r="AB17" s="50" t="str">
        <f t="shared" ca="1" si="4"/>
        <v>-</v>
      </c>
      <c r="AC17" s="18" t="str">
        <f t="shared" ca="1" si="5"/>
        <v>0</v>
      </c>
      <c r="AD17" s="18">
        <f t="shared" ca="1" si="6"/>
        <v>240</v>
      </c>
      <c r="AE17" s="18">
        <f t="shared" si="18"/>
        <v>120</v>
      </c>
      <c r="AF17" s="18">
        <f t="shared" ca="1" si="19"/>
        <v>15</v>
      </c>
      <c r="AG17" s="18">
        <f t="shared" ca="1" si="7"/>
        <v>375</v>
      </c>
    </row>
    <row r="18" spans="1:33" x14ac:dyDescent="0.3">
      <c r="A18" s="45">
        <v>8</v>
      </c>
      <c r="B18" s="45">
        <v>250</v>
      </c>
      <c r="C18" s="29">
        <f>B18/$B$19</f>
        <v>0.25</v>
      </c>
      <c r="D18" s="45">
        <f>E17+1</f>
        <v>76</v>
      </c>
      <c r="E18" s="45">
        <f>D18+(C18*100)-1</f>
        <v>100</v>
      </c>
      <c r="M18" s="49">
        <v>17</v>
      </c>
      <c r="N18" s="50">
        <f t="shared" ca="1" si="10"/>
        <v>70</v>
      </c>
      <c r="O18" s="50">
        <f t="shared" ca="1" si="11"/>
        <v>8</v>
      </c>
      <c r="P18" s="50">
        <f t="shared" ca="1" si="20"/>
        <v>40</v>
      </c>
      <c r="Q18" s="50">
        <f t="shared" ca="1" si="12"/>
        <v>48</v>
      </c>
      <c r="R18" s="50">
        <f t="shared" ca="1" si="13"/>
        <v>7</v>
      </c>
      <c r="S18" s="50">
        <f t="shared" ca="1" si="0"/>
        <v>2</v>
      </c>
      <c r="T18" s="50">
        <f t="shared" ca="1" si="1"/>
        <v>46</v>
      </c>
      <c r="U18" s="27">
        <f t="shared" ca="1" si="2"/>
        <v>0.48</v>
      </c>
      <c r="V18" s="50">
        <f t="shared" ca="1" si="21"/>
        <v>1</v>
      </c>
      <c r="W18" s="50" t="str">
        <f t="shared" ca="1" si="3"/>
        <v>-</v>
      </c>
      <c r="X18" s="50">
        <f t="shared" ca="1" si="14"/>
        <v>20</v>
      </c>
      <c r="Y18" s="50">
        <f t="shared" ca="1" si="15"/>
        <v>0</v>
      </c>
      <c r="Z18" s="18">
        <f t="shared" ca="1" si="16"/>
        <v>0</v>
      </c>
      <c r="AA18" s="50">
        <f t="shared" ca="1" si="17"/>
        <v>57</v>
      </c>
      <c r="AB18" s="50" t="str">
        <f t="shared" ca="1" si="4"/>
        <v>-</v>
      </c>
      <c r="AC18" s="18" t="str">
        <f t="shared" ca="1" si="5"/>
        <v>0</v>
      </c>
      <c r="AD18" s="18">
        <f t="shared" ca="1" si="6"/>
        <v>0</v>
      </c>
      <c r="AE18" s="18">
        <f t="shared" si="18"/>
        <v>120</v>
      </c>
      <c r="AF18" s="18">
        <f t="shared" ca="1" si="19"/>
        <v>15</v>
      </c>
      <c r="AG18" s="18">
        <f t="shared" ca="1" si="7"/>
        <v>135</v>
      </c>
    </row>
    <row r="19" spans="1:33" x14ac:dyDescent="0.3">
      <c r="A19" s="28" t="s">
        <v>1</v>
      </c>
      <c r="B19" s="45">
        <f>SUM(B15:B18)</f>
        <v>1000</v>
      </c>
      <c r="C19" s="28">
        <f>SUM(C15:C18)</f>
        <v>1</v>
      </c>
      <c r="D19" s="28"/>
      <c r="E19" s="29"/>
      <c r="M19" s="49">
        <v>18</v>
      </c>
      <c r="N19" s="50">
        <f t="shared" ca="1" si="10"/>
        <v>74</v>
      </c>
      <c r="O19" s="50">
        <f t="shared" ca="1" si="11"/>
        <v>8</v>
      </c>
      <c r="P19" s="50">
        <f t="shared" ca="1" si="20"/>
        <v>46</v>
      </c>
      <c r="Q19" s="50">
        <f t="shared" ca="1" si="12"/>
        <v>54</v>
      </c>
      <c r="R19" s="50">
        <f t="shared" ca="1" si="13"/>
        <v>76</v>
      </c>
      <c r="S19" s="50">
        <f t="shared" ca="1" si="0"/>
        <v>8</v>
      </c>
      <c r="T19" s="50">
        <f t="shared" ca="1" si="1"/>
        <v>46</v>
      </c>
      <c r="U19" s="27">
        <f t="shared" ca="1" si="2"/>
        <v>0.54</v>
      </c>
      <c r="V19" s="50">
        <f t="shared" ca="1" si="21"/>
        <v>1</v>
      </c>
      <c r="W19" s="50" t="str">
        <f t="shared" ca="1" si="3"/>
        <v>-</v>
      </c>
      <c r="X19" s="50">
        <f t="shared" ca="1" si="14"/>
        <v>5</v>
      </c>
      <c r="Y19" s="50">
        <f t="shared" ca="1" si="15"/>
        <v>2</v>
      </c>
      <c r="Z19" s="18">
        <f t="shared" ca="1" si="16"/>
        <v>800</v>
      </c>
      <c r="AA19" s="50">
        <f t="shared" ca="1" si="17"/>
        <v>96</v>
      </c>
      <c r="AB19" s="50" t="str">
        <f t="shared" ca="1" si="4"/>
        <v>-</v>
      </c>
      <c r="AC19" s="18" t="str">
        <f t="shared" ca="1" si="5"/>
        <v>0</v>
      </c>
      <c r="AD19" s="18">
        <f t="shared" ca="1" si="6"/>
        <v>240</v>
      </c>
      <c r="AE19" s="18">
        <f t="shared" si="18"/>
        <v>120</v>
      </c>
      <c r="AF19" s="18">
        <f t="shared" ca="1" si="19"/>
        <v>15</v>
      </c>
      <c r="AG19" s="18">
        <f t="shared" ca="1" si="7"/>
        <v>375</v>
      </c>
    </row>
    <row r="20" spans="1:33" x14ac:dyDescent="0.3">
      <c r="M20" s="49">
        <v>19</v>
      </c>
      <c r="N20" s="50">
        <f t="shared" ca="1" si="10"/>
        <v>9</v>
      </c>
      <c r="O20" s="50">
        <f t="shared" ca="1" si="11"/>
        <v>5</v>
      </c>
      <c r="P20" s="50">
        <f t="shared" ca="1" si="20"/>
        <v>46</v>
      </c>
      <c r="Q20" s="50">
        <f t="shared" ca="1" si="12"/>
        <v>51</v>
      </c>
      <c r="R20" s="50">
        <f t="shared" ca="1" si="13"/>
        <v>29</v>
      </c>
      <c r="S20" s="50">
        <f t="shared" ca="1" si="0"/>
        <v>4</v>
      </c>
      <c r="T20" s="50">
        <f t="shared" ca="1" si="1"/>
        <v>47</v>
      </c>
      <c r="U20" s="27">
        <f t="shared" ca="1" si="2"/>
        <v>0.51</v>
      </c>
      <c r="V20" s="50">
        <f t="shared" ca="1" si="21"/>
        <v>1</v>
      </c>
      <c r="W20" s="50" t="str">
        <f t="shared" ca="1" si="3"/>
        <v>-</v>
      </c>
      <c r="X20" s="50">
        <f t="shared" ca="1" si="14"/>
        <v>43</v>
      </c>
      <c r="Y20" s="50">
        <f t="shared" ca="1" si="15"/>
        <v>1</v>
      </c>
      <c r="Z20" s="18">
        <f t="shared" ca="1" si="16"/>
        <v>400</v>
      </c>
      <c r="AA20" s="50">
        <f t="shared" ca="1" si="17"/>
        <v>4</v>
      </c>
      <c r="AB20" s="50" t="str">
        <f t="shared" ca="1" si="4"/>
        <v>-</v>
      </c>
      <c r="AC20" s="18" t="str">
        <f t="shared" ca="1" si="5"/>
        <v>0</v>
      </c>
      <c r="AD20" s="18">
        <f t="shared" ca="1" si="6"/>
        <v>120</v>
      </c>
      <c r="AE20" s="18">
        <f t="shared" si="18"/>
        <v>120</v>
      </c>
      <c r="AF20" s="18">
        <f t="shared" ca="1" si="19"/>
        <v>15</v>
      </c>
      <c r="AG20" s="18">
        <f t="shared" ca="1" si="7"/>
        <v>255</v>
      </c>
    </row>
    <row r="21" spans="1:33" x14ac:dyDescent="0.3">
      <c r="M21" s="49">
        <v>20</v>
      </c>
      <c r="N21" s="50">
        <f t="shared" ca="1" si="10"/>
        <v>94</v>
      </c>
      <c r="O21" s="50">
        <f t="shared" ca="1" si="11"/>
        <v>15</v>
      </c>
      <c r="P21" s="50">
        <f t="shared" ca="1" si="20"/>
        <v>47</v>
      </c>
      <c r="Q21" s="50">
        <f t="shared" ca="1" si="12"/>
        <v>62</v>
      </c>
      <c r="R21" s="50">
        <f t="shared" ca="1" si="13"/>
        <v>36</v>
      </c>
      <c r="S21" s="50">
        <f t="shared" ca="1" si="0"/>
        <v>4</v>
      </c>
      <c r="T21" s="50">
        <f t="shared" ca="1" si="1"/>
        <v>58</v>
      </c>
      <c r="U21" s="27">
        <f t="shared" ca="1" si="2"/>
        <v>0.62</v>
      </c>
      <c r="V21" s="50">
        <f t="shared" ca="1" si="21"/>
        <v>1</v>
      </c>
      <c r="W21" s="50" t="str">
        <f t="shared" ca="1" si="3"/>
        <v>-</v>
      </c>
      <c r="X21" s="50">
        <f t="shared" ca="1" si="14"/>
        <v>57</v>
      </c>
      <c r="Y21" s="50">
        <f t="shared" ca="1" si="15"/>
        <v>2</v>
      </c>
      <c r="Z21" s="18">
        <f t="shared" ca="1" si="16"/>
        <v>800</v>
      </c>
      <c r="AA21" s="50">
        <f t="shared" ca="1" si="17"/>
        <v>68</v>
      </c>
      <c r="AB21" s="50" t="str">
        <f t="shared" ca="1" si="4"/>
        <v>-</v>
      </c>
      <c r="AC21" s="18" t="str">
        <f t="shared" ca="1" si="5"/>
        <v>0</v>
      </c>
      <c r="AD21" s="18">
        <f t="shared" ca="1" si="6"/>
        <v>240</v>
      </c>
      <c r="AE21" s="18">
        <f t="shared" si="18"/>
        <v>120</v>
      </c>
      <c r="AF21" s="18">
        <f t="shared" ca="1" si="19"/>
        <v>15</v>
      </c>
      <c r="AG21" s="18">
        <f t="shared" ca="1" si="7"/>
        <v>375</v>
      </c>
    </row>
    <row r="22" spans="1:33" ht="18.600000000000001" thickBot="1" x14ac:dyDescent="0.35">
      <c r="A22" s="68" t="s">
        <v>44</v>
      </c>
      <c r="B22" s="68"/>
      <c r="C22" s="68"/>
      <c r="D22" s="68"/>
      <c r="E22" s="68"/>
      <c r="M22" s="49">
        <v>21</v>
      </c>
      <c r="N22" s="50">
        <f t="shared" ca="1" si="10"/>
        <v>76</v>
      </c>
      <c r="O22" s="50">
        <f t="shared" ca="1" si="11"/>
        <v>12</v>
      </c>
      <c r="P22" s="50">
        <f t="shared" ca="1" si="20"/>
        <v>58</v>
      </c>
      <c r="Q22" s="50">
        <f t="shared" ca="1" si="12"/>
        <v>70</v>
      </c>
      <c r="R22" s="50">
        <f t="shared" ca="1" si="13"/>
        <v>37</v>
      </c>
      <c r="S22" s="50">
        <f t="shared" ca="1" si="0"/>
        <v>4</v>
      </c>
      <c r="T22" s="50">
        <f t="shared" ca="1" si="1"/>
        <v>66</v>
      </c>
      <c r="U22" s="27">
        <f t="shared" ca="1" si="2"/>
        <v>0.7</v>
      </c>
      <c r="V22" s="50">
        <f t="shared" ca="1" si="21"/>
        <v>1</v>
      </c>
      <c r="W22" s="50" t="str">
        <f t="shared" ca="1" si="3"/>
        <v>-</v>
      </c>
      <c r="X22" s="50">
        <f t="shared" ca="1" si="14"/>
        <v>6</v>
      </c>
      <c r="Y22" s="50">
        <f t="shared" ca="1" si="15"/>
        <v>1</v>
      </c>
      <c r="Z22" s="18">
        <f t="shared" ca="1" si="16"/>
        <v>400</v>
      </c>
      <c r="AA22" s="50">
        <f t="shared" ca="1" si="17"/>
        <v>47</v>
      </c>
      <c r="AB22" s="50" t="str">
        <f t="shared" ca="1" si="4"/>
        <v>-</v>
      </c>
      <c r="AC22" s="18" t="str">
        <f t="shared" ca="1" si="5"/>
        <v>0</v>
      </c>
      <c r="AD22" s="18">
        <f t="shared" ca="1" si="6"/>
        <v>120</v>
      </c>
      <c r="AE22" s="18">
        <f t="shared" si="18"/>
        <v>120</v>
      </c>
      <c r="AF22" s="18">
        <f t="shared" ca="1" si="19"/>
        <v>15</v>
      </c>
      <c r="AG22" s="18">
        <f t="shared" ca="1" si="7"/>
        <v>255</v>
      </c>
    </row>
    <row r="23" spans="1:33" ht="31.8" customHeight="1" thickTop="1" x14ac:dyDescent="0.3">
      <c r="A23" s="32" t="s">
        <v>54</v>
      </c>
      <c r="B23" s="24" t="s">
        <v>13</v>
      </c>
      <c r="C23" s="33" t="s">
        <v>2</v>
      </c>
      <c r="D23" s="24" t="s">
        <v>14</v>
      </c>
      <c r="E23" s="24" t="s">
        <v>15</v>
      </c>
      <c r="M23" s="49">
        <v>22</v>
      </c>
      <c r="N23" s="50">
        <f t="shared" ca="1" si="10"/>
        <v>3</v>
      </c>
      <c r="O23" s="50">
        <f t="shared" ca="1" si="11"/>
        <v>5</v>
      </c>
      <c r="P23" s="50">
        <f t="shared" ca="1" si="20"/>
        <v>66</v>
      </c>
      <c r="Q23" s="50">
        <f t="shared" ca="1" si="12"/>
        <v>71</v>
      </c>
      <c r="R23" s="50">
        <f t="shared" ca="1" si="13"/>
        <v>15</v>
      </c>
      <c r="S23" s="50">
        <f t="shared" ca="1" si="0"/>
        <v>2</v>
      </c>
      <c r="T23" s="50">
        <f t="shared" ca="1" si="1"/>
        <v>69</v>
      </c>
      <c r="U23" s="27">
        <f t="shared" ca="1" si="2"/>
        <v>0.71</v>
      </c>
      <c r="V23" s="50">
        <f t="shared" ca="1" si="21"/>
        <v>1</v>
      </c>
      <c r="W23" s="50" t="str">
        <f t="shared" ca="1" si="3"/>
        <v>-</v>
      </c>
      <c r="X23" s="50">
        <f t="shared" ca="1" si="14"/>
        <v>38</v>
      </c>
      <c r="Y23" s="50">
        <f t="shared" ca="1" si="15"/>
        <v>0</v>
      </c>
      <c r="Z23" s="18">
        <f t="shared" ca="1" si="16"/>
        <v>0</v>
      </c>
      <c r="AA23" s="50">
        <f t="shared" ca="1" si="17"/>
        <v>57</v>
      </c>
      <c r="AB23" s="50" t="str">
        <f t="shared" ca="1" si="4"/>
        <v>-</v>
      </c>
      <c r="AC23" s="18" t="str">
        <f t="shared" ca="1" si="5"/>
        <v>0</v>
      </c>
      <c r="AD23" s="18">
        <f t="shared" ca="1" si="6"/>
        <v>0</v>
      </c>
      <c r="AE23" s="18">
        <f t="shared" si="18"/>
        <v>120</v>
      </c>
      <c r="AF23" s="18">
        <f t="shared" ca="1" si="19"/>
        <v>15</v>
      </c>
      <c r="AG23" s="18">
        <f t="shared" ca="1" si="7"/>
        <v>135</v>
      </c>
    </row>
    <row r="24" spans="1:33" x14ac:dyDescent="0.3">
      <c r="A24" s="28">
        <v>0.2</v>
      </c>
      <c r="B24" s="45">
        <v>550</v>
      </c>
      <c r="C24" s="29">
        <f t="shared" ref="C24:C29" si="22">B24/$B$19</f>
        <v>0.55000000000000004</v>
      </c>
      <c r="D24" s="45">
        <v>1</v>
      </c>
      <c r="E24" s="45">
        <f t="shared" ref="E24:E29" si="23">D24+(C24*100)-1</f>
        <v>55.000000000000007</v>
      </c>
      <c r="M24" s="49">
        <v>23</v>
      </c>
      <c r="N24" s="50">
        <f t="shared" ca="1" si="10"/>
        <v>11</v>
      </c>
      <c r="O24" s="50">
        <f t="shared" ca="1" si="11"/>
        <v>5</v>
      </c>
      <c r="P24" s="50">
        <f t="shared" ca="1" si="20"/>
        <v>69</v>
      </c>
      <c r="Q24" s="50">
        <f t="shared" ca="1" si="12"/>
        <v>74</v>
      </c>
      <c r="R24" s="50">
        <f t="shared" ca="1" si="13"/>
        <v>78</v>
      </c>
      <c r="S24" s="50">
        <f t="shared" ca="1" si="0"/>
        <v>8</v>
      </c>
      <c r="T24" s="50">
        <f t="shared" ca="1" si="1"/>
        <v>66</v>
      </c>
      <c r="U24" s="27">
        <f t="shared" ca="1" si="2"/>
        <v>0.74</v>
      </c>
      <c r="V24" s="50">
        <f t="shared" ca="1" si="21"/>
        <v>1</v>
      </c>
      <c r="W24" s="50" t="str">
        <f t="shared" ca="1" si="3"/>
        <v>-</v>
      </c>
      <c r="X24" s="50">
        <f t="shared" ca="1" si="14"/>
        <v>98</v>
      </c>
      <c r="Y24" s="50">
        <f t="shared" ca="1" si="15"/>
        <v>6</v>
      </c>
      <c r="Z24" s="18">
        <f t="shared" ca="1" si="16"/>
        <v>2400</v>
      </c>
      <c r="AA24" s="50">
        <f t="shared" ca="1" si="17"/>
        <v>87</v>
      </c>
      <c r="AB24" s="50" t="str">
        <f t="shared" ca="1" si="4"/>
        <v>-</v>
      </c>
      <c r="AC24" s="18" t="str">
        <f t="shared" ca="1" si="5"/>
        <v>0</v>
      </c>
      <c r="AD24" s="18">
        <f t="shared" ca="1" si="6"/>
        <v>720</v>
      </c>
      <c r="AE24" s="18">
        <f t="shared" si="18"/>
        <v>120</v>
      </c>
      <c r="AF24" s="18">
        <f t="shared" ca="1" si="19"/>
        <v>15</v>
      </c>
      <c r="AG24" s="18">
        <f t="shared" ca="1" si="7"/>
        <v>855</v>
      </c>
    </row>
    <row r="25" spans="1:33" x14ac:dyDescent="0.3">
      <c r="A25" s="28">
        <v>0.4</v>
      </c>
      <c r="B25" s="45">
        <v>250</v>
      </c>
      <c r="C25" s="29">
        <f t="shared" si="22"/>
        <v>0.25</v>
      </c>
      <c r="D25" s="45">
        <f>E24+1</f>
        <v>56.000000000000007</v>
      </c>
      <c r="E25" s="45">
        <f t="shared" si="23"/>
        <v>80</v>
      </c>
      <c r="M25" s="49">
        <v>24</v>
      </c>
      <c r="N25" s="50">
        <f t="shared" ca="1" si="10"/>
        <v>42</v>
      </c>
      <c r="O25" s="50">
        <f t="shared" ca="1" si="11"/>
        <v>5</v>
      </c>
      <c r="P25" s="50">
        <f t="shared" ca="1" si="20"/>
        <v>66</v>
      </c>
      <c r="Q25" s="50">
        <f t="shared" ca="1" si="12"/>
        <v>71</v>
      </c>
      <c r="R25" s="50">
        <f t="shared" ca="1" si="13"/>
        <v>78</v>
      </c>
      <c r="S25" s="50">
        <f t="shared" ca="1" si="0"/>
        <v>8</v>
      </c>
      <c r="T25" s="50">
        <f t="shared" ca="1" si="1"/>
        <v>63</v>
      </c>
      <c r="U25" s="27">
        <f t="shared" ca="1" si="2"/>
        <v>0.71</v>
      </c>
      <c r="V25" s="50">
        <f t="shared" ca="1" si="21"/>
        <v>1</v>
      </c>
      <c r="W25" s="50" t="str">
        <f t="shared" ca="1" si="3"/>
        <v>-</v>
      </c>
      <c r="X25" s="50">
        <f t="shared" ca="1" si="14"/>
        <v>100</v>
      </c>
      <c r="Y25" s="50">
        <f t="shared" ca="1" si="15"/>
        <v>8</v>
      </c>
      <c r="Z25" s="18">
        <f t="shared" ca="1" si="16"/>
        <v>3200</v>
      </c>
      <c r="AA25" s="50">
        <f t="shared" ca="1" si="17"/>
        <v>64</v>
      </c>
      <c r="AB25" s="50" t="str">
        <f t="shared" ca="1" si="4"/>
        <v>-</v>
      </c>
      <c r="AC25" s="18" t="str">
        <f t="shared" ca="1" si="5"/>
        <v>0</v>
      </c>
      <c r="AD25" s="18">
        <f t="shared" ca="1" si="6"/>
        <v>960</v>
      </c>
      <c r="AE25" s="18">
        <f t="shared" si="18"/>
        <v>120</v>
      </c>
      <c r="AF25" s="18">
        <f t="shared" ca="1" si="19"/>
        <v>15</v>
      </c>
      <c r="AG25" s="18">
        <f t="shared" ca="1" si="7"/>
        <v>1095</v>
      </c>
    </row>
    <row r="26" spans="1:33" x14ac:dyDescent="0.3">
      <c r="A26" s="28">
        <v>0.5</v>
      </c>
      <c r="B26" s="45">
        <v>120</v>
      </c>
      <c r="C26" s="29">
        <f t="shared" si="22"/>
        <v>0.12</v>
      </c>
      <c r="D26" s="45">
        <f>E25+1</f>
        <v>81</v>
      </c>
      <c r="E26" s="45">
        <f t="shared" si="23"/>
        <v>92</v>
      </c>
      <c r="M26" s="49">
        <v>25</v>
      </c>
      <c r="N26" s="50">
        <f t="shared" ca="1" si="10"/>
        <v>58</v>
      </c>
      <c r="O26" s="50">
        <f t="shared" ca="1" si="11"/>
        <v>8</v>
      </c>
      <c r="P26" s="50">
        <f t="shared" ca="1" si="20"/>
        <v>63</v>
      </c>
      <c r="Q26" s="50">
        <f t="shared" ca="1" si="12"/>
        <v>71</v>
      </c>
      <c r="R26" s="50">
        <f t="shared" ca="1" si="13"/>
        <v>5</v>
      </c>
      <c r="S26" s="50">
        <f t="shared" ca="1" si="0"/>
        <v>2</v>
      </c>
      <c r="T26" s="50">
        <f t="shared" ca="1" si="1"/>
        <v>69</v>
      </c>
      <c r="U26" s="27">
        <f t="shared" ca="1" si="2"/>
        <v>0.71</v>
      </c>
      <c r="V26" s="50">
        <f t="shared" ca="1" si="21"/>
        <v>1</v>
      </c>
      <c r="W26" s="50" t="str">
        <f t="shared" ca="1" si="3"/>
        <v>-</v>
      </c>
      <c r="X26" s="50">
        <f t="shared" ca="1" si="14"/>
        <v>12</v>
      </c>
      <c r="Y26" s="50">
        <f t="shared" ca="1" si="15"/>
        <v>0</v>
      </c>
      <c r="Z26" s="18">
        <f t="shared" ca="1" si="16"/>
        <v>0</v>
      </c>
      <c r="AA26" s="50">
        <f t="shared" ca="1" si="17"/>
        <v>39</v>
      </c>
      <c r="AB26" s="50" t="str">
        <f t="shared" ca="1" si="4"/>
        <v>-</v>
      </c>
      <c r="AC26" s="18" t="str">
        <f t="shared" ca="1" si="5"/>
        <v>0</v>
      </c>
      <c r="AD26" s="18">
        <f t="shared" ca="1" si="6"/>
        <v>0</v>
      </c>
      <c r="AE26" s="18">
        <f t="shared" si="18"/>
        <v>120</v>
      </c>
      <c r="AF26" s="18">
        <f t="shared" ca="1" si="19"/>
        <v>15</v>
      </c>
      <c r="AG26" s="18">
        <f t="shared" ca="1" si="7"/>
        <v>135</v>
      </c>
    </row>
    <row r="27" spans="1:33" x14ac:dyDescent="0.3">
      <c r="A27" s="28">
        <v>0.6</v>
      </c>
      <c r="B27" s="45">
        <v>50</v>
      </c>
      <c r="C27" s="29">
        <f t="shared" si="22"/>
        <v>0.05</v>
      </c>
      <c r="D27" s="45">
        <f>E26+1</f>
        <v>93</v>
      </c>
      <c r="E27" s="45">
        <f t="shared" si="23"/>
        <v>97</v>
      </c>
      <c r="M27" s="49">
        <v>26</v>
      </c>
      <c r="N27" s="50">
        <f t="shared" ca="1" si="10"/>
        <v>41</v>
      </c>
      <c r="O27" s="50">
        <f t="shared" ca="1" si="11"/>
        <v>5</v>
      </c>
      <c r="P27" s="50">
        <f t="shared" ca="1" si="20"/>
        <v>69</v>
      </c>
      <c r="Q27" s="50">
        <f t="shared" ca="1" si="12"/>
        <v>74</v>
      </c>
      <c r="R27" s="50">
        <f t="shared" ca="1" si="13"/>
        <v>19</v>
      </c>
      <c r="S27" s="50">
        <f t="shared" ca="1" si="0"/>
        <v>4</v>
      </c>
      <c r="T27" s="50">
        <f t="shared" ca="1" si="1"/>
        <v>70</v>
      </c>
      <c r="U27" s="27">
        <f t="shared" ca="1" si="2"/>
        <v>0.74</v>
      </c>
      <c r="V27" s="50">
        <f t="shared" ca="1" si="21"/>
        <v>1</v>
      </c>
      <c r="W27" s="50" t="str">
        <f t="shared" ca="1" si="3"/>
        <v>-</v>
      </c>
      <c r="X27" s="50">
        <f t="shared" ca="1" si="14"/>
        <v>75</v>
      </c>
      <c r="Y27" s="50">
        <f t="shared" ca="1" si="15"/>
        <v>2</v>
      </c>
      <c r="Z27" s="18">
        <f t="shared" ca="1" si="16"/>
        <v>800</v>
      </c>
      <c r="AA27" s="50">
        <f t="shared" ca="1" si="17"/>
        <v>4</v>
      </c>
      <c r="AB27" s="50" t="str">
        <f t="shared" ca="1" si="4"/>
        <v>-</v>
      </c>
      <c r="AC27" s="18" t="str">
        <f t="shared" ca="1" si="5"/>
        <v>0</v>
      </c>
      <c r="AD27" s="18">
        <f t="shared" ca="1" si="6"/>
        <v>240</v>
      </c>
      <c r="AE27" s="18">
        <f t="shared" si="18"/>
        <v>120</v>
      </c>
      <c r="AF27" s="18">
        <f t="shared" ca="1" si="19"/>
        <v>15</v>
      </c>
      <c r="AG27" s="18">
        <f t="shared" ca="1" si="7"/>
        <v>375</v>
      </c>
    </row>
    <row r="28" spans="1:33" x14ac:dyDescent="0.3">
      <c r="A28" s="28">
        <v>0.8</v>
      </c>
      <c r="B28" s="45">
        <v>20</v>
      </c>
      <c r="C28" s="29">
        <f t="shared" si="22"/>
        <v>0.02</v>
      </c>
      <c r="D28" s="45">
        <f>E27+1</f>
        <v>98</v>
      </c>
      <c r="E28" s="45">
        <f t="shared" si="23"/>
        <v>99</v>
      </c>
      <c r="M28" s="49">
        <v>27</v>
      </c>
      <c r="N28" s="50">
        <f t="shared" ca="1" si="10"/>
        <v>36</v>
      </c>
      <c r="O28" s="50">
        <f t="shared" ca="1" si="11"/>
        <v>5</v>
      </c>
      <c r="P28" s="50">
        <f t="shared" ca="1" si="20"/>
        <v>70</v>
      </c>
      <c r="Q28" s="50">
        <f t="shared" ca="1" si="12"/>
        <v>75</v>
      </c>
      <c r="R28" s="50">
        <f t="shared" ca="1" si="13"/>
        <v>35</v>
      </c>
      <c r="S28" s="50">
        <f t="shared" ca="1" si="0"/>
        <v>4</v>
      </c>
      <c r="T28" s="50">
        <f t="shared" ca="1" si="1"/>
        <v>63.5</v>
      </c>
      <c r="U28" s="27">
        <f t="shared" ca="1" si="2"/>
        <v>0.75</v>
      </c>
      <c r="V28" s="50">
        <f t="shared" ca="1" si="21"/>
        <v>1</v>
      </c>
      <c r="W28" s="50">
        <f t="shared" ca="1" si="3"/>
        <v>7.5</v>
      </c>
      <c r="X28" s="50">
        <f t="shared" ca="1" si="14"/>
        <v>95</v>
      </c>
      <c r="Y28" s="50">
        <f t="shared" ca="1" si="15"/>
        <v>2</v>
      </c>
      <c r="Z28" s="18">
        <f t="shared" ca="1" si="16"/>
        <v>800</v>
      </c>
      <c r="AA28" s="50">
        <f t="shared" ca="1" si="17"/>
        <v>79</v>
      </c>
      <c r="AB28" s="50">
        <f t="shared" ca="1" si="4"/>
        <v>3</v>
      </c>
      <c r="AC28" s="18">
        <f t="shared" ca="1" si="5"/>
        <v>1200</v>
      </c>
      <c r="AD28" s="18">
        <f t="shared" ca="1" si="6"/>
        <v>240</v>
      </c>
      <c r="AE28" s="18">
        <f t="shared" si="18"/>
        <v>120</v>
      </c>
      <c r="AF28" s="18">
        <f t="shared" ca="1" si="19"/>
        <v>15</v>
      </c>
      <c r="AG28" s="18">
        <f t="shared" ca="1" si="7"/>
        <v>1575</v>
      </c>
    </row>
    <row r="29" spans="1:33" x14ac:dyDescent="0.3">
      <c r="A29" s="28">
        <v>1</v>
      </c>
      <c r="B29" s="45">
        <v>10</v>
      </c>
      <c r="C29" s="29">
        <f t="shared" si="22"/>
        <v>0.01</v>
      </c>
      <c r="D29" s="45">
        <f>E28+1</f>
        <v>100</v>
      </c>
      <c r="E29" s="45">
        <f t="shared" si="23"/>
        <v>100</v>
      </c>
      <c r="M29" s="49">
        <v>28</v>
      </c>
      <c r="N29" s="50">
        <f t="shared" ca="1" si="10"/>
        <v>98</v>
      </c>
      <c r="O29" s="50">
        <f t="shared" ca="1" si="11"/>
        <v>18</v>
      </c>
      <c r="P29" s="50">
        <f t="shared" ca="1" si="20"/>
        <v>63.5</v>
      </c>
      <c r="Q29" s="50">
        <f t="shared" ca="1" si="12"/>
        <v>81.5</v>
      </c>
      <c r="R29" s="50">
        <f t="shared" ca="1" si="13"/>
        <v>66</v>
      </c>
      <c r="S29" s="50">
        <f t="shared" ca="1" si="0"/>
        <v>6</v>
      </c>
      <c r="T29" s="50">
        <f t="shared" ca="1" si="1"/>
        <v>67.349999999999994</v>
      </c>
      <c r="U29" s="27">
        <f t="shared" ca="1" si="2"/>
        <v>0.81499999999999995</v>
      </c>
      <c r="V29" s="50">
        <f t="shared" ca="1" si="21"/>
        <v>1</v>
      </c>
      <c r="W29" s="50">
        <f t="shared" ca="1" si="3"/>
        <v>8.15</v>
      </c>
      <c r="X29" s="50">
        <f t="shared" ca="1" si="14"/>
        <v>86</v>
      </c>
      <c r="Y29" s="50">
        <f t="shared" ca="1" si="15"/>
        <v>3</v>
      </c>
      <c r="Z29" s="18">
        <f t="shared" ca="1" si="16"/>
        <v>1200</v>
      </c>
      <c r="AA29" s="50">
        <f t="shared" ca="1" si="17"/>
        <v>10</v>
      </c>
      <c r="AB29" s="50">
        <f t="shared" ca="1" si="4"/>
        <v>1.6300000000000001</v>
      </c>
      <c r="AC29" s="18">
        <f t="shared" ca="1" si="5"/>
        <v>652</v>
      </c>
      <c r="AD29" s="18">
        <f t="shared" ca="1" si="6"/>
        <v>360</v>
      </c>
      <c r="AE29" s="18">
        <f t="shared" si="18"/>
        <v>120</v>
      </c>
      <c r="AF29" s="18">
        <f t="shared" ca="1" si="19"/>
        <v>15</v>
      </c>
      <c r="AG29" s="18">
        <f t="shared" ca="1" si="7"/>
        <v>1147</v>
      </c>
    </row>
    <row r="30" spans="1:33" x14ac:dyDescent="0.3">
      <c r="A30" s="29" t="s">
        <v>1</v>
      </c>
      <c r="B30" s="46">
        <f>SUM(B24:B29)</f>
        <v>1000</v>
      </c>
      <c r="C30" s="29">
        <f>SUM(C24:C29)</f>
        <v>1</v>
      </c>
      <c r="D30" s="29"/>
      <c r="E30" s="29"/>
      <c r="M30" s="49">
        <v>29</v>
      </c>
      <c r="N30" s="50">
        <f t="shared" ca="1" si="10"/>
        <v>25</v>
      </c>
      <c r="O30" s="50">
        <f t="shared" ca="1" si="11"/>
        <v>5</v>
      </c>
      <c r="P30" s="50">
        <f t="shared" ca="1" si="20"/>
        <v>67.349999999999994</v>
      </c>
      <c r="Q30" s="50">
        <f t="shared" ca="1" si="12"/>
        <v>72.349999999999994</v>
      </c>
      <c r="R30" s="50">
        <f t="shared" ca="1" si="13"/>
        <v>62</v>
      </c>
      <c r="S30" s="50">
        <f t="shared" ca="1" si="0"/>
        <v>6</v>
      </c>
      <c r="T30" s="50">
        <f t="shared" ca="1" si="1"/>
        <v>66.349999999999994</v>
      </c>
      <c r="U30" s="27">
        <f t="shared" ca="1" si="2"/>
        <v>0.36174999999999996</v>
      </c>
      <c r="V30" s="50">
        <f t="shared" ca="1" si="21"/>
        <v>2</v>
      </c>
      <c r="W30" s="50" t="str">
        <f t="shared" ca="1" si="3"/>
        <v>-</v>
      </c>
      <c r="X30" s="50">
        <f t="shared" ca="1" si="14"/>
        <v>87</v>
      </c>
      <c r="Y30" s="50">
        <f t="shared" ca="1" si="15"/>
        <v>3</v>
      </c>
      <c r="Z30" s="18">
        <f t="shared" ca="1" si="16"/>
        <v>1200</v>
      </c>
      <c r="AA30" s="50">
        <f t="shared" ca="1" si="17"/>
        <v>55</v>
      </c>
      <c r="AB30" s="50" t="str">
        <f t="shared" ca="1" si="4"/>
        <v>-</v>
      </c>
      <c r="AC30" s="18" t="str">
        <f t="shared" ca="1" si="5"/>
        <v>0</v>
      </c>
      <c r="AD30" s="18">
        <f t="shared" ca="1" si="6"/>
        <v>360</v>
      </c>
      <c r="AE30" s="18">
        <f t="shared" si="18"/>
        <v>120</v>
      </c>
      <c r="AF30" s="18">
        <f t="shared" ca="1" si="19"/>
        <v>230</v>
      </c>
      <c r="AG30" s="18">
        <f t="shared" ca="1" si="7"/>
        <v>710</v>
      </c>
    </row>
    <row r="31" spans="1:33" x14ac:dyDescent="0.3">
      <c r="M31" s="49">
        <v>30</v>
      </c>
      <c r="N31" s="50">
        <f t="shared" ca="1" si="10"/>
        <v>97</v>
      </c>
      <c r="O31" s="50">
        <f t="shared" ca="1" si="11"/>
        <v>18</v>
      </c>
      <c r="P31" s="50">
        <f t="shared" ca="1" si="20"/>
        <v>66.349999999999994</v>
      </c>
      <c r="Q31" s="50">
        <f t="shared" ca="1" si="12"/>
        <v>84.35</v>
      </c>
      <c r="R31" s="50">
        <f t="shared" ca="1" si="13"/>
        <v>78</v>
      </c>
      <c r="S31" s="50">
        <f t="shared" ca="1" si="0"/>
        <v>8</v>
      </c>
      <c r="T31" s="50">
        <f t="shared" ca="1" si="1"/>
        <v>76.349999999999994</v>
      </c>
      <c r="U31" s="27">
        <f t="shared" ca="1" si="2"/>
        <v>0.42174999999999996</v>
      </c>
      <c r="V31" s="50">
        <f t="shared" ca="1" si="21"/>
        <v>2</v>
      </c>
      <c r="W31" s="50" t="str">
        <f t="shared" ca="1" si="3"/>
        <v>-</v>
      </c>
      <c r="X31" s="50">
        <f t="shared" ca="1" si="14"/>
        <v>46</v>
      </c>
      <c r="Y31" s="50">
        <f t="shared" ca="1" si="15"/>
        <v>2</v>
      </c>
      <c r="Z31" s="18">
        <f t="shared" ca="1" si="16"/>
        <v>800</v>
      </c>
      <c r="AA31" s="50">
        <f t="shared" ca="1" si="17"/>
        <v>17</v>
      </c>
      <c r="AB31" s="50" t="str">
        <f t="shared" ca="1" si="4"/>
        <v>-</v>
      </c>
      <c r="AC31" s="18" t="str">
        <f t="shared" ca="1" si="5"/>
        <v>0</v>
      </c>
      <c r="AD31" s="18">
        <f t="shared" ca="1" si="6"/>
        <v>240</v>
      </c>
      <c r="AE31" s="18">
        <f t="shared" si="18"/>
        <v>120</v>
      </c>
      <c r="AF31" s="18">
        <f t="shared" ca="1" si="19"/>
        <v>30</v>
      </c>
      <c r="AG31" s="18">
        <f t="shared" ca="1" si="7"/>
        <v>390</v>
      </c>
    </row>
    <row r="32" spans="1:33" x14ac:dyDescent="0.3">
      <c r="M32" s="49">
        <v>31</v>
      </c>
      <c r="N32" s="50">
        <f t="shared" ca="1" si="10"/>
        <v>99</v>
      </c>
      <c r="O32" s="50">
        <f t="shared" ca="1" si="11"/>
        <v>20</v>
      </c>
      <c r="P32" s="50">
        <f t="shared" ca="1" si="20"/>
        <v>76.349999999999994</v>
      </c>
      <c r="Q32" s="50">
        <f t="shared" ca="1" si="12"/>
        <v>96.35</v>
      </c>
      <c r="R32" s="50">
        <f t="shared" ca="1" si="13"/>
        <v>61</v>
      </c>
      <c r="S32" s="50">
        <f t="shared" ca="1" si="0"/>
        <v>6</v>
      </c>
      <c r="T32" s="50">
        <f t="shared" ca="1" si="1"/>
        <v>90.35</v>
      </c>
      <c r="U32" s="27">
        <f t="shared" ca="1" si="2"/>
        <v>0.48174999999999996</v>
      </c>
      <c r="V32" s="50">
        <f t="shared" ca="1" si="21"/>
        <v>2</v>
      </c>
      <c r="W32" s="50" t="str">
        <f t="shared" ca="1" si="3"/>
        <v>-</v>
      </c>
      <c r="X32" s="50">
        <f t="shared" ca="1" si="14"/>
        <v>23</v>
      </c>
      <c r="Y32" s="50">
        <f t="shared" ca="1" si="15"/>
        <v>1</v>
      </c>
      <c r="Z32" s="18">
        <f t="shared" ca="1" si="16"/>
        <v>400</v>
      </c>
      <c r="AA32" s="50">
        <f t="shared" ca="1" si="17"/>
        <v>100</v>
      </c>
      <c r="AB32" s="50" t="str">
        <f t="shared" ca="1" si="4"/>
        <v>-</v>
      </c>
      <c r="AC32" s="18" t="str">
        <f t="shared" ca="1" si="5"/>
        <v>0</v>
      </c>
      <c r="AD32" s="18">
        <f t="shared" ca="1" si="6"/>
        <v>120</v>
      </c>
      <c r="AE32" s="18">
        <f t="shared" si="18"/>
        <v>120</v>
      </c>
      <c r="AF32" s="18">
        <f t="shared" ca="1" si="19"/>
        <v>30</v>
      </c>
      <c r="AG32" s="18">
        <f t="shared" ca="1" si="7"/>
        <v>270</v>
      </c>
    </row>
    <row r="33" spans="13:33" x14ac:dyDescent="0.3">
      <c r="M33" s="49">
        <v>32</v>
      </c>
      <c r="N33" s="50">
        <f t="shared" ca="1" si="10"/>
        <v>32</v>
      </c>
      <c r="O33" s="50">
        <f t="shared" ca="1" si="11"/>
        <v>5</v>
      </c>
      <c r="P33" s="50">
        <f t="shared" ca="1" si="20"/>
        <v>90.35</v>
      </c>
      <c r="Q33" s="50">
        <f t="shared" ca="1" si="12"/>
        <v>95.35</v>
      </c>
      <c r="R33" s="50">
        <f t="shared" ca="1" si="13"/>
        <v>86</v>
      </c>
      <c r="S33" s="50">
        <f t="shared" ca="1" si="0"/>
        <v>8</v>
      </c>
      <c r="T33" s="50">
        <f t="shared" ca="1" si="1"/>
        <v>87.35</v>
      </c>
      <c r="U33" s="27">
        <f t="shared" ca="1" si="2"/>
        <v>0.47674999999999995</v>
      </c>
      <c r="V33" s="50">
        <f t="shared" ca="1" si="21"/>
        <v>2</v>
      </c>
      <c r="W33" s="50" t="str">
        <f t="shared" ca="1" si="3"/>
        <v>-</v>
      </c>
      <c r="X33" s="50">
        <f t="shared" ca="1" si="14"/>
        <v>10</v>
      </c>
      <c r="Y33" s="50">
        <f t="shared" ca="1" si="15"/>
        <v>2</v>
      </c>
      <c r="Z33" s="18">
        <f t="shared" ca="1" si="16"/>
        <v>800</v>
      </c>
      <c r="AA33" s="50">
        <f t="shared" ca="1" si="17"/>
        <v>4</v>
      </c>
      <c r="AB33" s="50" t="str">
        <f t="shared" ca="1" si="4"/>
        <v>-</v>
      </c>
      <c r="AC33" s="18" t="str">
        <f t="shared" ca="1" si="5"/>
        <v>0</v>
      </c>
      <c r="AD33" s="18">
        <f t="shared" ca="1" si="6"/>
        <v>240</v>
      </c>
      <c r="AE33" s="18">
        <f t="shared" si="18"/>
        <v>120</v>
      </c>
      <c r="AF33" s="18">
        <f t="shared" ca="1" si="19"/>
        <v>30</v>
      </c>
      <c r="AG33" s="18">
        <f t="shared" ca="1" si="7"/>
        <v>390</v>
      </c>
    </row>
    <row r="34" spans="13:33" x14ac:dyDescent="0.3">
      <c r="M34" s="49">
        <v>33</v>
      </c>
      <c r="N34" s="50">
        <f t="shared" ca="1" si="10"/>
        <v>70</v>
      </c>
      <c r="O34" s="50">
        <f t="shared" ca="1" si="11"/>
        <v>8</v>
      </c>
      <c r="P34" s="50">
        <f t="shared" ca="1" si="20"/>
        <v>87.35</v>
      </c>
      <c r="Q34" s="50">
        <f t="shared" ca="1" si="12"/>
        <v>95.35</v>
      </c>
      <c r="R34" s="50">
        <f t="shared" ca="1" si="13"/>
        <v>7</v>
      </c>
      <c r="S34" s="50">
        <f t="shared" ref="S34:S65" ca="1" si="24">MIN(Q34,LOOKUP(R34,$D$15:$E$18,$A$15:$A$18))</f>
        <v>2</v>
      </c>
      <c r="T34" s="50">
        <f t="shared" ref="T34:T65" ca="1" si="25">IF(W34&lt;&gt;"-",Q34-S34-W34,Q34-S34)</f>
        <v>93.35</v>
      </c>
      <c r="U34" s="27">
        <f t="shared" ref="U34:U65" ca="1" si="26">Q34/($J$2*V34)</f>
        <v>0.47674999999999995</v>
      </c>
      <c r="V34" s="50">
        <f t="shared" ca="1" si="21"/>
        <v>2</v>
      </c>
      <c r="W34" s="50" t="str">
        <f t="shared" ref="W34:W65" ca="1" si="27">IF(U34&gt;=$J$7,Q34*$J$6,"-")</f>
        <v>-</v>
      </c>
      <c r="X34" s="50">
        <f t="shared" ca="1" si="14"/>
        <v>93</v>
      </c>
      <c r="Y34" s="50">
        <f t="shared" ca="1" si="15"/>
        <v>1</v>
      </c>
      <c r="Z34" s="18">
        <f t="shared" ca="1" si="16"/>
        <v>400</v>
      </c>
      <c r="AA34" s="50">
        <f t="shared" ca="1" si="17"/>
        <v>17</v>
      </c>
      <c r="AB34" s="50" t="str">
        <f t="shared" ref="AB34:AB65" ca="1" si="28">IF(W34&lt;&gt;"-",LOOKUP(AA34,$D$24:$E$29,$A$24:$A$29)*W34,"-")</f>
        <v>-</v>
      </c>
      <c r="AC34" s="18" t="str">
        <f t="shared" ref="AC34:AC65" ca="1" si="29">IF(AB34&lt;&gt;"-",AB34*$J$10,"0")</f>
        <v>0</v>
      </c>
      <c r="AD34" s="18">
        <f t="shared" ref="AD34:AD65" ca="1" si="30">Z34*$J$12</f>
        <v>120</v>
      </c>
      <c r="AE34" s="18">
        <f t="shared" si="18"/>
        <v>120</v>
      </c>
      <c r="AF34" s="18">
        <f t="shared" ca="1" si="19"/>
        <v>30</v>
      </c>
      <c r="AG34" s="18">
        <f t="shared" ca="1" si="7"/>
        <v>270</v>
      </c>
    </row>
    <row r="35" spans="13:33" x14ac:dyDescent="0.3">
      <c r="M35" s="49">
        <v>34</v>
      </c>
      <c r="N35" s="50">
        <f t="shared" ca="1" si="10"/>
        <v>91</v>
      </c>
      <c r="O35" s="50">
        <f t="shared" ca="1" si="11"/>
        <v>15</v>
      </c>
      <c r="P35" s="50">
        <f t="shared" ca="1" si="20"/>
        <v>93.35</v>
      </c>
      <c r="Q35" s="50">
        <f t="shared" ca="1" si="12"/>
        <v>108.35</v>
      </c>
      <c r="R35" s="50">
        <f t="shared" ca="1" si="13"/>
        <v>85</v>
      </c>
      <c r="S35" s="50">
        <f t="shared" ca="1" si="24"/>
        <v>8</v>
      </c>
      <c r="T35" s="50">
        <f t="shared" ca="1" si="25"/>
        <v>100.35</v>
      </c>
      <c r="U35" s="27">
        <f t="shared" ca="1" si="26"/>
        <v>0.54174999999999995</v>
      </c>
      <c r="V35" s="50">
        <f t="shared" ca="1" si="21"/>
        <v>2</v>
      </c>
      <c r="W35" s="50" t="str">
        <f t="shared" ca="1" si="27"/>
        <v>-</v>
      </c>
      <c r="X35" s="50">
        <f t="shared" ca="1" si="14"/>
        <v>15</v>
      </c>
      <c r="Y35" s="50">
        <f t="shared" ca="1" si="15"/>
        <v>2</v>
      </c>
      <c r="Z35" s="18">
        <f t="shared" ca="1" si="16"/>
        <v>800</v>
      </c>
      <c r="AA35" s="50">
        <f t="shared" ca="1" si="17"/>
        <v>4</v>
      </c>
      <c r="AB35" s="50" t="str">
        <f t="shared" ca="1" si="28"/>
        <v>-</v>
      </c>
      <c r="AC35" s="18" t="str">
        <f t="shared" ca="1" si="29"/>
        <v>0</v>
      </c>
      <c r="AD35" s="18">
        <f t="shared" ca="1" si="30"/>
        <v>240</v>
      </c>
      <c r="AE35" s="18">
        <f t="shared" si="18"/>
        <v>120</v>
      </c>
      <c r="AF35" s="18">
        <f t="shared" ref="AF35:AF66" ca="1" si="31">IF(V35&gt;V34,($J$9*V35)+$J$8*(V35-V34),$J$9*V35)</f>
        <v>30</v>
      </c>
      <c r="AG35" s="18">
        <f t="shared" ca="1" si="7"/>
        <v>390</v>
      </c>
    </row>
    <row r="36" spans="13:33" x14ac:dyDescent="0.3">
      <c r="M36" s="49">
        <v>35</v>
      </c>
      <c r="N36" s="50">
        <f t="shared" ca="1" si="10"/>
        <v>98</v>
      </c>
      <c r="O36" s="50">
        <f t="shared" ca="1" si="11"/>
        <v>18</v>
      </c>
      <c r="P36" s="50">
        <f t="shared" ca="1" si="20"/>
        <v>100.35</v>
      </c>
      <c r="Q36" s="50">
        <f t="shared" ca="1" si="12"/>
        <v>118.35</v>
      </c>
      <c r="R36" s="50">
        <f t="shared" ca="1" si="13"/>
        <v>13</v>
      </c>
      <c r="S36" s="50">
        <f t="shared" ca="1" si="24"/>
        <v>2</v>
      </c>
      <c r="T36" s="50">
        <f t="shared" ca="1" si="25"/>
        <v>116.35</v>
      </c>
      <c r="U36" s="27">
        <f t="shared" ca="1" si="26"/>
        <v>0.59175</v>
      </c>
      <c r="V36" s="50">
        <f t="shared" ca="1" si="21"/>
        <v>2</v>
      </c>
      <c r="W36" s="50" t="str">
        <f t="shared" ca="1" si="27"/>
        <v>-</v>
      </c>
      <c r="X36" s="50">
        <f t="shared" ca="1" si="14"/>
        <v>91</v>
      </c>
      <c r="Y36" s="50">
        <f t="shared" ca="1" si="15"/>
        <v>1</v>
      </c>
      <c r="Z36" s="18">
        <f t="shared" ca="1" si="16"/>
        <v>400</v>
      </c>
      <c r="AA36" s="50">
        <f t="shared" ca="1" si="17"/>
        <v>86</v>
      </c>
      <c r="AB36" s="50" t="str">
        <f t="shared" ca="1" si="28"/>
        <v>-</v>
      </c>
      <c r="AC36" s="18" t="str">
        <f t="shared" ca="1" si="29"/>
        <v>0</v>
      </c>
      <c r="AD36" s="18">
        <f t="shared" ca="1" si="30"/>
        <v>120</v>
      </c>
      <c r="AE36" s="18">
        <f t="shared" si="18"/>
        <v>120</v>
      </c>
      <c r="AF36" s="18">
        <f t="shared" ca="1" si="31"/>
        <v>30</v>
      </c>
      <c r="AG36" s="18">
        <f t="shared" ca="1" si="7"/>
        <v>270</v>
      </c>
    </row>
    <row r="37" spans="13:33" x14ac:dyDescent="0.3">
      <c r="M37" s="49">
        <v>36</v>
      </c>
      <c r="N37" s="50">
        <f t="shared" ca="1" si="10"/>
        <v>38</v>
      </c>
      <c r="O37" s="50">
        <f t="shared" ca="1" si="11"/>
        <v>5</v>
      </c>
      <c r="P37" s="50">
        <f t="shared" ca="1" si="20"/>
        <v>116.35</v>
      </c>
      <c r="Q37" s="50">
        <f t="shared" ca="1" si="12"/>
        <v>121.35</v>
      </c>
      <c r="R37" s="50">
        <f t="shared" ca="1" si="13"/>
        <v>87</v>
      </c>
      <c r="S37" s="50">
        <f t="shared" ca="1" si="24"/>
        <v>8</v>
      </c>
      <c r="T37" s="50">
        <f t="shared" ca="1" si="25"/>
        <v>113.35</v>
      </c>
      <c r="U37" s="27">
        <f t="shared" ca="1" si="26"/>
        <v>0.60675000000000001</v>
      </c>
      <c r="V37" s="50">
        <f t="shared" ca="1" si="21"/>
        <v>2</v>
      </c>
      <c r="W37" s="50" t="str">
        <f t="shared" ca="1" si="27"/>
        <v>-</v>
      </c>
      <c r="X37" s="50">
        <f t="shared" ca="1" si="14"/>
        <v>92</v>
      </c>
      <c r="Y37" s="50">
        <f t="shared" ca="1" si="15"/>
        <v>4</v>
      </c>
      <c r="Z37" s="18">
        <f t="shared" ca="1" si="16"/>
        <v>1600</v>
      </c>
      <c r="AA37" s="50">
        <f t="shared" ca="1" si="17"/>
        <v>47</v>
      </c>
      <c r="AB37" s="50" t="str">
        <f t="shared" ca="1" si="28"/>
        <v>-</v>
      </c>
      <c r="AC37" s="18" t="str">
        <f t="shared" ca="1" si="29"/>
        <v>0</v>
      </c>
      <c r="AD37" s="18">
        <f t="shared" ca="1" si="30"/>
        <v>480</v>
      </c>
      <c r="AE37" s="18">
        <f t="shared" si="18"/>
        <v>120</v>
      </c>
      <c r="AF37" s="18">
        <f t="shared" ca="1" si="31"/>
        <v>30</v>
      </c>
      <c r="AG37" s="18">
        <f t="shared" ca="1" si="7"/>
        <v>630</v>
      </c>
    </row>
    <row r="38" spans="13:33" x14ac:dyDescent="0.3">
      <c r="M38" s="49">
        <v>37</v>
      </c>
      <c r="N38" s="50">
        <f t="shared" ca="1" si="10"/>
        <v>73</v>
      </c>
      <c r="O38" s="50">
        <f t="shared" ca="1" si="11"/>
        <v>8</v>
      </c>
      <c r="P38" s="50">
        <f t="shared" ca="1" si="20"/>
        <v>113.35</v>
      </c>
      <c r="Q38" s="50">
        <f t="shared" ca="1" si="12"/>
        <v>121.35</v>
      </c>
      <c r="R38" s="50">
        <f t="shared" ca="1" si="13"/>
        <v>60</v>
      </c>
      <c r="S38" s="50">
        <f t="shared" ca="1" si="24"/>
        <v>6</v>
      </c>
      <c r="T38" s="50">
        <f t="shared" ca="1" si="25"/>
        <v>115.35</v>
      </c>
      <c r="U38" s="27">
        <f t="shared" ca="1" si="26"/>
        <v>0.60675000000000001</v>
      </c>
      <c r="V38" s="50">
        <f t="shared" ca="1" si="21"/>
        <v>2</v>
      </c>
      <c r="W38" s="50" t="str">
        <f t="shared" ca="1" si="27"/>
        <v>-</v>
      </c>
      <c r="X38" s="50">
        <f t="shared" ca="1" si="14"/>
        <v>2</v>
      </c>
      <c r="Y38" s="50">
        <f t="shared" ca="1" si="15"/>
        <v>1</v>
      </c>
      <c r="Z38" s="18">
        <f t="shared" ca="1" si="16"/>
        <v>400</v>
      </c>
      <c r="AA38" s="50">
        <f t="shared" ca="1" si="17"/>
        <v>46</v>
      </c>
      <c r="AB38" s="50" t="str">
        <f t="shared" ca="1" si="28"/>
        <v>-</v>
      </c>
      <c r="AC38" s="18" t="str">
        <f t="shared" ca="1" si="29"/>
        <v>0</v>
      </c>
      <c r="AD38" s="18">
        <f t="shared" ca="1" si="30"/>
        <v>120</v>
      </c>
      <c r="AE38" s="18">
        <f t="shared" si="18"/>
        <v>120</v>
      </c>
      <c r="AF38" s="18">
        <f t="shared" ca="1" si="31"/>
        <v>30</v>
      </c>
      <c r="AG38" s="18">
        <f t="shared" ca="1" si="7"/>
        <v>270</v>
      </c>
    </row>
    <row r="39" spans="13:33" x14ac:dyDescent="0.3">
      <c r="M39" s="49">
        <v>38</v>
      </c>
      <c r="N39" s="50">
        <f t="shared" ca="1" si="10"/>
        <v>67</v>
      </c>
      <c r="O39" s="50">
        <f t="shared" ca="1" si="11"/>
        <v>8</v>
      </c>
      <c r="P39" s="50">
        <f t="shared" ca="1" si="20"/>
        <v>115.35</v>
      </c>
      <c r="Q39" s="50">
        <f t="shared" ca="1" si="12"/>
        <v>123.35</v>
      </c>
      <c r="R39" s="50">
        <f t="shared" ca="1" si="13"/>
        <v>37</v>
      </c>
      <c r="S39" s="50">
        <f t="shared" ca="1" si="24"/>
        <v>4</v>
      </c>
      <c r="T39" s="50">
        <f t="shared" ca="1" si="25"/>
        <v>119.35</v>
      </c>
      <c r="U39" s="27">
        <f t="shared" ca="1" si="26"/>
        <v>0.61675000000000002</v>
      </c>
      <c r="V39" s="50">
        <f t="shared" ca="1" si="21"/>
        <v>2</v>
      </c>
      <c r="W39" s="50" t="str">
        <f t="shared" ca="1" si="27"/>
        <v>-</v>
      </c>
      <c r="X39" s="50">
        <f t="shared" ca="1" si="14"/>
        <v>37</v>
      </c>
      <c r="Y39" s="50">
        <f t="shared" ca="1" si="15"/>
        <v>1</v>
      </c>
      <c r="Z39" s="18">
        <f t="shared" ca="1" si="16"/>
        <v>400</v>
      </c>
      <c r="AA39" s="50">
        <f t="shared" ca="1" si="17"/>
        <v>72</v>
      </c>
      <c r="AB39" s="50" t="str">
        <f t="shared" ca="1" si="28"/>
        <v>-</v>
      </c>
      <c r="AC39" s="18" t="str">
        <f t="shared" ca="1" si="29"/>
        <v>0</v>
      </c>
      <c r="AD39" s="18">
        <f t="shared" ca="1" si="30"/>
        <v>120</v>
      </c>
      <c r="AE39" s="18">
        <f t="shared" si="18"/>
        <v>120</v>
      </c>
      <c r="AF39" s="18">
        <f t="shared" ca="1" si="31"/>
        <v>30</v>
      </c>
      <c r="AG39" s="18">
        <f t="shared" ca="1" si="7"/>
        <v>270</v>
      </c>
    </row>
    <row r="40" spans="13:33" x14ac:dyDescent="0.3">
      <c r="M40" s="49">
        <v>39</v>
      </c>
      <c r="N40" s="50">
        <f t="shared" ca="1" si="10"/>
        <v>78</v>
      </c>
      <c r="O40" s="50">
        <f t="shared" ca="1" si="11"/>
        <v>12</v>
      </c>
      <c r="P40" s="50">
        <f t="shared" ca="1" si="20"/>
        <v>119.35</v>
      </c>
      <c r="Q40" s="50">
        <f t="shared" ca="1" si="12"/>
        <v>131.35</v>
      </c>
      <c r="R40" s="50">
        <f t="shared" ca="1" si="13"/>
        <v>29</v>
      </c>
      <c r="S40" s="50">
        <f t="shared" ca="1" si="24"/>
        <v>4</v>
      </c>
      <c r="T40" s="50">
        <f t="shared" ca="1" si="25"/>
        <v>127.35</v>
      </c>
      <c r="U40" s="27">
        <f t="shared" ca="1" si="26"/>
        <v>0.65674999999999994</v>
      </c>
      <c r="V40" s="50">
        <f t="shared" ca="1" si="21"/>
        <v>2</v>
      </c>
      <c r="W40" s="50" t="str">
        <f t="shared" ca="1" si="27"/>
        <v>-</v>
      </c>
      <c r="X40" s="50">
        <f t="shared" ca="1" si="14"/>
        <v>35</v>
      </c>
      <c r="Y40" s="50">
        <f t="shared" ca="1" si="15"/>
        <v>1</v>
      </c>
      <c r="Z40" s="18">
        <f t="shared" ca="1" si="16"/>
        <v>400</v>
      </c>
      <c r="AA40" s="50">
        <f t="shared" ca="1" si="17"/>
        <v>22</v>
      </c>
      <c r="AB40" s="50" t="str">
        <f t="shared" ca="1" si="28"/>
        <v>-</v>
      </c>
      <c r="AC40" s="18" t="str">
        <f t="shared" ca="1" si="29"/>
        <v>0</v>
      </c>
      <c r="AD40" s="18">
        <f t="shared" ca="1" si="30"/>
        <v>120</v>
      </c>
      <c r="AE40" s="18">
        <f t="shared" si="18"/>
        <v>120</v>
      </c>
      <c r="AF40" s="18">
        <f t="shared" ca="1" si="31"/>
        <v>30</v>
      </c>
      <c r="AG40" s="18">
        <f t="shared" ca="1" si="7"/>
        <v>270</v>
      </c>
    </row>
    <row r="41" spans="13:33" x14ac:dyDescent="0.3">
      <c r="M41" s="49">
        <v>40</v>
      </c>
      <c r="N41" s="50">
        <f t="shared" ca="1" si="10"/>
        <v>86</v>
      </c>
      <c r="O41" s="50">
        <f t="shared" ca="1" si="11"/>
        <v>12</v>
      </c>
      <c r="P41" s="50">
        <f t="shared" ca="1" si="20"/>
        <v>127.35</v>
      </c>
      <c r="Q41" s="50">
        <f t="shared" ca="1" si="12"/>
        <v>139.35</v>
      </c>
      <c r="R41" s="50">
        <f t="shared" ca="1" si="13"/>
        <v>20</v>
      </c>
      <c r="S41" s="50">
        <f t="shared" ca="1" si="24"/>
        <v>4</v>
      </c>
      <c r="T41" s="50">
        <f t="shared" ca="1" si="25"/>
        <v>135.35</v>
      </c>
      <c r="U41" s="27">
        <f t="shared" ca="1" si="26"/>
        <v>0.69674999999999998</v>
      </c>
      <c r="V41" s="50">
        <f t="shared" ca="1" si="21"/>
        <v>2</v>
      </c>
      <c r="W41" s="50" t="str">
        <f t="shared" ca="1" si="27"/>
        <v>-</v>
      </c>
      <c r="X41" s="50">
        <f t="shared" ca="1" si="14"/>
        <v>14</v>
      </c>
      <c r="Y41" s="50">
        <f t="shared" ca="1" si="15"/>
        <v>1</v>
      </c>
      <c r="Z41" s="18">
        <f t="shared" ca="1" si="16"/>
        <v>400</v>
      </c>
      <c r="AA41" s="50">
        <f t="shared" ca="1" si="17"/>
        <v>16</v>
      </c>
      <c r="AB41" s="50" t="str">
        <f t="shared" ca="1" si="28"/>
        <v>-</v>
      </c>
      <c r="AC41" s="18" t="str">
        <f t="shared" ca="1" si="29"/>
        <v>0</v>
      </c>
      <c r="AD41" s="18">
        <f t="shared" ca="1" si="30"/>
        <v>120</v>
      </c>
      <c r="AE41" s="18">
        <f t="shared" si="18"/>
        <v>120</v>
      </c>
      <c r="AF41" s="18">
        <f t="shared" ca="1" si="31"/>
        <v>30</v>
      </c>
      <c r="AG41" s="18">
        <f t="shared" ca="1" si="7"/>
        <v>270</v>
      </c>
    </row>
    <row r="42" spans="13:33" x14ac:dyDescent="0.3">
      <c r="M42" s="49">
        <v>41</v>
      </c>
      <c r="N42" s="50">
        <f t="shared" ca="1" si="10"/>
        <v>61</v>
      </c>
      <c r="O42" s="50">
        <f t="shared" ca="1" si="11"/>
        <v>8</v>
      </c>
      <c r="P42" s="50">
        <f t="shared" ca="1" si="20"/>
        <v>135.35</v>
      </c>
      <c r="Q42" s="50">
        <f t="shared" ca="1" si="12"/>
        <v>143.35</v>
      </c>
      <c r="R42" s="50">
        <f t="shared" ca="1" si="13"/>
        <v>6</v>
      </c>
      <c r="S42" s="50">
        <f t="shared" ca="1" si="24"/>
        <v>2</v>
      </c>
      <c r="T42" s="50">
        <f t="shared" ca="1" si="25"/>
        <v>141.35</v>
      </c>
      <c r="U42" s="27">
        <f t="shared" ca="1" si="26"/>
        <v>0.71675</v>
      </c>
      <c r="V42" s="50">
        <f t="shared" ca="1" si="21"/>
        <v>2</v>
      </c>
      <c r="W42" s="50" t="str">
        <f t="shared" ca="1" si="27"/>
        <v>-</v>
      </c>
      <c r="X42" s="50">
        <f t="shared" ca="1" si="14"/>
        <v>4</v>
      </c>
      <c r="Y42" s="50">
        <f t="shared" ca="1" si="15"/>
        <v>0</v>
      </c>
      <c r="Z42" s="18">
        <f t="shared" ca="1" si="16"/>
        <v>0</v>
      </c>
      <c r="AA42" s="50">
        <f t="shared" ca="1" si="17"/>
        <v>10</v>
      </c>
      <c r="AB42" s="50" t="str">
        <f t="shared" ca="1" si="28"/>
        <v>-</v>
      </c>
      <c r="AC42" s="18" t="str">
        <f t="shared" ca="1" si="29"/>
        <v>0</v>
      </c>
      <c r="AD42" s="18">
        <f t="shared" ca="1" si="30"/>
        <v>0</v>
      </c>
      <c r="AE42" s="18">
        <f t="shared" si="18"/>
        <v>120</v>
      </c>
      <c r="AF42" s="18">
        <f t="shared" ca="1" si="31"/>
        <v>30</v>
      </c>
      <c r="AG42" s="18">
        <f t="shared" ca="1" si="7"/>
        <v>150</v>
      </c>
    </row>
    <row r="43" spans="13:33" x14ac:dyDescent="0.3">
      <c r="M43" s="49">
        <v>42</v>
      </c>
      <c r="N43" s="50">
        <f t="shared" ca="1" si="10"/>
        <v>81</v>
      </c>
      <c r="O43" s="50">
        <f t="shared" ca="1" si="11"/>
        <v>12</v>
      </c>
      <c r="P43" s="50">
        <f t="shared" ca="1" si="20"/>
        <v>141.35</v>
      </c>
      <c r="Q43" s="50">
        <f t="shared" ca="1" si="12"/>
        <v>153.35</v>
      </c>
      <c r="R43" s="50">
        <f t="shared" ca="1" si="13"/>
        <v>45</v>
      </c>
      <c r="S43" s="50">
        <f t="shared" ca="1" si="24"/>
        <v>4</v>
      </c>
      <c r="T43" s="50">
        <f t="shared" ca="1" si="25"/>
        <v>134.01499999999999</v>
      </c>
      <c r="U43" s="27">
        <f t="shared" ca="1" si="26"/>
        <v>0.76674999999999993</v>
      </c>
      <c r="V43" s="50">
        <f t="shared" ca="1" si="21"/>
        <v>2</v>
      </c>
      <c r="W43" s="50">
        <f t="shared" ca="1" si="27"/>
        <v>15.335000000000001</v>
      </c>
      <c r="X43" s="50">
        <f t="shared" ca="1" si="14"/>
        <v>5</v>
      </c>
      <c r="Y43" s="50">
        <f t="shared" ca="1" si="15"/>
        <v>1</v>
      </c>
      <c r="Z43" s="18">
        <f t="shared" ca="1" si="16"/>
        <v>400</v>
      </c>
      <c r="AA43" s="50">
        <f t="shared" ca="1" si="17"/>
        <v>19</v>
      </c>
      <c r="AB43" s="50">
        <f t="shared" ca="1" si="28"/>
        <v>3.0670000000000002</v>
      </c>
      <c r="AC43" s="18">
        <f t="shared" ca="1" si="29"/>
        <v>1226.8000000000002</v>
      </c>
      <c r="AD43" s="18">
        <f t="shared" ca="1" si="30"/>
        <v>120</v>
      </c>
      <c r="AE43" s="18">
        <f t="shared" si="18"/>
        <v>120</v>
      </c>
      <c r="AF43" s="18">
        <f t="shared" ca="1" si="31"/>
        <v>30</v>
      </c>
      <c r="AG43" s="18">
        <f t="shared" ca="1" si="7"/>
        <v>1496.8000000000002</v>
      </c>
    </row>
    <row r="44" spans="13:33" x14ac:dyDescent="0.3">
      <c r="M44" s="49">
        <v>43</v>
      </c>
      <c r="N44" s="50">
        <f t="shared" ca="1" si="10"/>
        <v>50</v>
      </c>
      <c r="O44" s="50">
        <f t="shared" ca="1" si="11"/>
        <v>8</v>
      </c>
      <c r="P44" s="50">
        <f t="shared" ca="1" si="20"/>
        <v>134.01499999999999</v>
      </c>
      <c r="Q44" s="50">
        <f t="shared" ca="1" si="12"/>
        <v>142.01499999999999</v>
      </c>
      <c r="R44" s="50">
        <f t="shared" ca="1" si="13"/>
        <v>96</v>
      </c>
      <c r="S44" s="50">
        <f t="shared" ca="1" si="24"/>
        <v>8</v>
      </c>
      <c r="T44" s="50">
        <f t="shared" ca="1" si="25"/>
        <v>134.01499999999999</v>
      </c>
      <c r="U44" s="27">
        <f t="shared" ca="1" si="26"/>
        <v>0.7100749999999999</v>
      </c>
      <c r="V44" s="50">
        <f t="shared" ca="1" si="21"/>
        <v>2</v>
      </c>
      <c r="W44" s="50" t="str">
        <f t="shared" ca="1" si="27"/>
        <v>-</v>
      </c>
      <c r="X44" s="50">
        <f t="shared" ca="1" si="14"/>
        <v>9</v>
      </c>
      <c r="Y44" s="50">
        <f t="shared" ca="1" si="15"/>
        <v>2</v>
      </c>
      <c r="Z44" s="18">
        <f t="shared" ca="1" si="16"/>
        <v>800</v>
      </c>
      <c r="AA44" s="50">
        <f t="shared" ca="1" si="17"/>
        <v>28</v>
      </c>
      <c r="AB44" s="50" t="str">
        <f t="shared" ca="1" si="28"/>
        <v>-</v>
      </c>
      <c r="AC44" s="18" t="str">
        <f t="shared" ca="1" si="29"/>
        <v>0</v>
      </c>
      <c r="AD44" s="18">
        <f t="shared" ca="1" si="30"/>
        <v>240</v>
      </c>
      <c r="AE44" s="18">
        <f t="shared" si="18"/>
        <v>120</v>
      </c>
      <c r="AF44" s="18">
        <f t="shared" ca="1" si="31"/>
        <v>30</v>
      </c>
      <c r="AG44" s="18">
        <f t="shared" ca="1" si="7"/>
        <v>390</v>
      </c>
    </row>
    <row r="45" spans="13:33" x14ac:dyDescent="0.3">
      <c r="M45" s="49">
        <v>44</v>
      </c>
      <c r="N45" s="50">
        <f t="shared" ca="1" si="10"/>
        <v>21</v>
      </c>
      <c r="O45" s="50">
        <f t="shared" ca="1" si="11"/>
        <v>5</v>
      </c>
      <c r="P45" s="50">
        <f t="shared" ca="1" si="20"/>
        <v>134.01499999999999</v>
      </c>
      <c r="Q45" s="50">
        <f t="shared" ca="1" si="12"/>
        <v>139.01499999999999</v>
      </c>
      <c r="R45" s="50">
        <f t="shared" ca="1" si="13"/>
        <v>40</v>
      </c>
      <c r="S45" s="50">
        <f t="shared" ca="1" si="24"/>
        <v>4</v>
      </c>
      <c r="T45" s="50">
        <f t="shared" ca="1" si="25"/>
        <v>135.01499999999999</v>
      </c>
      <c r="U45" s="27">
        <f t="shared" ca="1" si="26"/>
        <v>0.69507499999999989</v>
      </c>
      <c r="V45" s="50">
        <f t="shared" ca="1" si="21"/>
        <v>2</v>
      </c>
      <c r="W45" s="50" t="str">
        <f t="shared" ca="1" si="27"/>
        <v>-</v>
      </c>
      <c r="X45" s="50">
        <f t="shared" ca="1" si="14"/>
        <v>89</v>
      </c>
      <c r="Y45" s="50">
        <f t="shared" ca="1" si="15"/>
        <v>2</v>
      </c>
      <c r="Z45" s="18">
        <f t="shared" ca="1" si="16"/>
        <v>800</v>
      </c>
      <c r="AA45" s="50">
        <f t="shared" ca="1" si="17"/>
        <v>82</v>
      </c>
      <c r="AB45" s="50" t="str">
        <f t="shared" ca="1" si="28"/>
        <v>-</v>
      </c>
      <c r="AC45" s="18" t="str">
        <f t="shared" ca="1" si="29"/>
        <v>0</v>
      </c>
      <c r="AD45" s="18">
        <f t="shared" ca="1" si="30"/>
        <v>240</v>
      </c>
      <c r="AE45" s="18">
        <f t="shared" si="18"/>
        <v>120</v>
      </c>
      <c r="AF45" s="18">
        <f t="shared" ca="1" si="31"/>
        <v>30</v>
      </c>
      <c r="AG45" s="18">
        <f t="shared" ca="1" si="7"/>
        <v>390</v>
      </c>
    </row>
    <row r="46" spans="13:33" x14ac:dyDescent="0.3">
      <c r="M46" s="49">
        <v>45</v>
      </c>
      <c r="N46" s="50">
        <f t="shared" ca="1" si="10"/>
        <v>72</v>
      </c>
      <c r="O46" s="50">
        <f t="shared" ca="1" si="11"/>
        <v>8</v>
      </c>
      <c r="P46" s="50">
        <f t="shared" ca="1" si="20"/>
        <v>135.01499999999999</v>
      </c>
      <c r="Q46" s="50">
        <f t="shared" ca="1" si="12"/>
        <v>143.01499999999999</v>
      </c>
      <c r="R46" s="50">
        <f t="shared" ca="1" si="13"/>
        <v>66</v>
      </c>
      <c r="S46" s="50">
        <f t="shared" ca="1" si="24"/>
        <v>6</v>
      </c>
      <c r="T46" s="50">
        <f t="shared" ca="1" si="25"/>
        <v>137.01499999999999</v>
      </c>
      <c r="U46" s="27">
        <f t="shared" ca="1" si="26"/>
        <v>0.71507499999999991</v>
      </c>
      <c r="V46" s="50">
        <f t="shared" ca="1" si="21"/>
        <v>2</v>
      </c>
      <c r="W46" s="50" t="str">
        <f t="shared" ca="1" si="27"/>
        <v>-</v>
      </c>
      <c r="X46" s="50">
        <f t="shared" ca="1" si="14"/>
        <v>72</v>
      </c>
      <c r="Y46" s="50">
        <f t="shared" ca="1" si="15"/>
        <v>2</v>
      </c>
      <c r="Z46" s="18">
        <f t="shared" ca="1" si="16"/>
        <v>800</v>
      </c>
      <c r="AA46" s="50">
        <f t="shared" ca="1" si="17"/>
        <v>2</v>
      </c>
      <c r="AB46" s="50" t="str">
        <f t="shared" ca="1" si="28"/>
        <v>-</v>
      </c>
      <c r="AC46" s="18" t="str">
        <f t="shared" ca="1" si="29"/>
        <v>0</v>
      </c>
      <c r="AD46" s="18">
        <f t="shared" ca="1" si="30"/>
        <v>240</v>
      </c>
      <c r="AE46" s="18">
        <f t="shared" si="18"/>
        <v>120</v>
      </c>
      <c r="AF46" s="18">
        <f t="shared" ca="1" si="31"/>
        <v>30</v>
      </c>
      <c r="AG46" s="18">
        <f t="shared" ca="1" si="7"/>
        <v>390</v>
      </c>
    </row>
    <row r="47" spans="13:33" x14ac:dyDescent="0.3">
      <c r="M47" s="49">
        <v>46</v>
      </c>
      <c r="N47" s="50">
        <f t="shared" ca="1" si="10"/>
        <v>26</v>
      </c>
      <c r="O47" s="50">
        <f t="shared" ca="1" si="11"/>
        <v>5</v>
      </c>
      <c r="P47" s="50">
        <f t="shared" ca="1" si="20"/>
        <v>137.01499999999999</v>
      </c>
      <c r="Q47" s="50">
        <f t="shared" ca="1" si="12"/>
        <v>142.01499999999999</v>
      </c>
      <c r="R47" s="50">
        <f t="shared" ca="1" si="13"/>
        <v>86</v>
      </c>
      <c r="S47" s="50">
        <f t="shared" ca="1" si="24"/>
        <v>8</v>
      </c>
      <c r="T47" s="50">
        <f t="shared" ca="1" si="25"/>
        <v>134.01499999999999</v>
      </c>
      <c r="U47" s="27">
        <f t="shared" ca="1" si="26"/>
        <v>0.7100749999999999</v>
      </c>
      <c r="V47" s="50">
        <f t="shared" ca="1" si="21"/>
        <v>2</v>
      </c>
      <c r="W47" s="50" t="str">
        <f t="shared" ca="1" si="27"/>
        <v>-</v>
      </c>
      <c r="X47" s="50">
        <f t="shared" ca="1" si="14"/>
        <v>3</v>
      </c>
      <c r="Y47" s="50">
        <f t="shared" ca="1" si="15"/>
        <v>2</v>
      </c>
      <c r="Z47" s="18">
        <f t="shared" ca="1" si="16"/>
        <v>800</v>
      </c>
      <c r="AA47" s="50">
        <f t="shared" ca="1" si="17"/>
        <v>81</v>
      </c>
      <c r="AB47" s="50" t="str">
        <f t="shared" ca="1" si="28"/>
        <v>-</v>
      </c>
      <c r="AC47" s="18" t="str">
        <f t="shared" ca="1" si="29"/>
        <v>0</v>
      </c>
      <c r="AD47" s="18">
        <f t="shared" ca="1" si="30"/>
        <v>240</v>
      </c>
      <c r="AE47" s="18">
        <f t="shared" si="18"/>
        <v>120</v>
      </c>
      <c r="AF47" s="18">
        <f t="shared" ca="1" si="31"/>
        <v>30</v>
      </c>
      <c r="AG47" s="18">
        <f t="shared" ca="1" si="7"/>
        <v>390</v>
      </c>
    </row>
    <row r="48" spans="13:33" x14ac:dyDescent="0.3">
      <c r="M48" s="49">
        <v>47</v>
      </c>
      <c r="N48" s="50">
        <f t="shared" ca="1" si="10"/>
        <v>11</v>
      </c>
      <c r="O48" s="50">
        <f t="shared" ca="1" si="11"/>
        <v>5</v>
      </c>
      <c r="P48" s="50">
        <f t="shared" ca="1" si="20"/>
        <v>134.01499999999999</v>
      </c>
      <c r="Q48" s="50">
        <f t="shared" ca="1" si="12"/>
        <v>139.01499999999999</v>
      </c>
      <c r="R48" s="50">
        <f t="shared" ca="1" si="13"/>
        <v>23</v>
      </c>
      <c r="S48" s="50">
        <f t="shared" ca="1" si="24"/>
        <v>4</v>
      </c>
      <c r="T48" s="50">
        <f t="shared" ca="1" si="25"/>
        <v>135.01499999999999</v>
      </c>
      <c r="U48" s="27">
        <f t="shared" ca="1" si="26"/>
        <v>0.69507499999999989</v>
      </c>
      <c r="V48" s="50">
        <f t="shared" ca="1" si="21"/>
        <v>2</v>
      </c>
      <c r="W48" s="50" t="str">
        <f t="shared" ca="1" si="27"/>
        <v>-</v>
      </c>
      <c r="X48" s="50">
        <f t="shared" ca="1" si="14"/>
        <v>28</v>
      </c>
      <c r="Y48" s="50">
        <f t="shared" ca="1" si="15"/>
        <v>1</v>
      </c>
      <c r="Z48" s="18">
        <f t="shared" ca="1" si="16"/>
        <v>400</v>
      </c>
      <c r="AA48" s="50">
        <f t="shared" ca="1" si="17"/>
        <v>46</v>
      </c>
      <c r="AB48" s="50" t="str">
        <f t="shared" ca="1" si="28"/>
        <v>-</v>
      </c>
      <c r="AC48" s="18" t="str">
        <f t="shared" ca="1" si="29"/>
        <v>0</v>
      </c>
      <c r="AD48" s="18">
        <f t="shared" ca="1" si="30"/>
        <v>120</v>
      </c>
      <c r="AE48" s="18">
        <f t="shared" si="18"/>
        <v>120</v>
      </c>
      <c r="AF48" s="18">
        <f t="shared" ca="1" si="31"/>
        <v>30</v>
      </c>
      <c r="AG48" s="18">
        <f t="shared" ca="1" si="7"/>
        <v>270</v>
      </c>
    </row>
    <row r="49" spans="13:33" x14ac:dyDescent="0.3">
      <c r="M49" s="49">
        <v>48</v>
      </c>
      <c r="N49" s="50">
        <f t="shared" ca="1" si="10"/>
        <v>64</v>
      </c>
      <c r="O49" s="50">
        <f t="shared" ca="1" si="11"/>
        <v>8</v>
      </c>
      <c r="P49" s="50">
        <f t="shared" ca="1" si="20"/>
        <v>135.01499999999999</v>
      </c>
      <c r="Q49" s="50">
        <f t="shared" ca="1" si="12"/>
        <v>143.01499999999999</v>
      </c>
      <c r="R49" s="50">
        <f t="shared" ca="1" si="13"/>
        <v>4</v>
      </c>
      <c r="S49" s="50">
        <f t="shared" ca="1" si="24"/>
        <v>2</v>
      </c>
      <c r="T49" s="50">
        <f t="shared" ca="1" si="25"/>
        <v>141.01499999999999</v>
      </c>
      <c r="U49" s="27">
        <f t="shared" ca="1" si="26"/>
        <v>0.71507499999999991</v>
      </c>
      <c r="V49" s="50">
        <f t="shared" ca="1" si="21"/>
        <v>2</v>
      </c>
      <c r="W49" s="50" t="str">
        <f t="shared" ca="1" si="27"/>
        <v>-</v>
      </c>
      <c r="X49" s="50">
        <f t="shared" ca="1" si="14"/>
        <v>44</v>
      </c>
      <c r="Y49" s="50">
        <f t="shared" ca="1" si="15"/>
        <v>0</v>
      </c>
      <c r="Z49" s="18">
        <f t="shared" ca="1" si="16"/>
        <v>0</v>
      </c>
      <c r="AA49" s="50">
        <f t="shared" ca="1" si="17"/>
        <v>95</v>
      </c>
      <c r="AB49" s="50" t="str">
        <f t="shared" ca="1" si="28"/>
        <v>-</v>
      </c>
      <c r="AC49" s="18" t="str">
        <f t="shared" ca="1" si="29"/>
        <v>0</v>
      </c>
      <c r="AD49" s="18">
        <f t="shared" ca="1" si="30"/>
        <v>0</v>
      </c>
      <c r="AE49" s="18">
        <f t="shared" si="18"/>
        <v>120</v>
      </c>
      <c r="AF49" s="18">
        <f t="shared" ca="1" si="31"/>
        <v>30</v>
      </c>
      <c r="AG49" s="18">
        <f t="shared" ca="1" si="7"/>
        <v>150</v>
      </c>
    </row>
    <row r="50" spans="13:33" x14ac:dyDescent="0.3">
      <c r="M50" s="49">
        <v>49</v>
      </c>
      <c r="N50" s="50">
        <f t="shared" ca="1" si="10"/>
        <v>46</v>
      </c>
      <c r="O50" s="50">
        <f t="shared" ca="1" si="11"/>
        <v>8</v>
      </c>
      <c r="P50" s="50">
        <f t="shared" ca="1" si="20"/>
        <v>141.01499999999999</v>
      </c>
      <c r="Q50" s="50">
        <f t="shared" ca="1" si="12"/>
        <v>149.01499999999999</v>
      </c>
      <c r="R50" s="50">
        <f t="shared" ca="1" si="13"/>
        <v>86</v>
      </c>
      <c r="S50" s="50">
        <f t="shared" ca="1" si="24"/>
        <v>8</v>
      </c>
      <c r="T50" s="50">
        <f t="shared" ca="1" si="25"/>
        <v>141.01499999999999</v>
      </c>
      <c r="U50" s="27">
        <f t="shared" ca="1" si="26"/>
        <v>0.74507499999999993</v>
      </c>
      <c r="V50" s="50">
        <f t="shared" ca="1" si="21"/>
        <v>2</v>
      </c>
      <c r="W50" s="50" t="str">
        <f t="shared" ca="1" si="27"/>
        <v>-</v>
      </c>
      <c r="X50" s="50">
        <f t="shared" ca="1" si="14"/>
        <v>30</v>
      </c>
      <c r="Y50" s="50">
        <f t="shared" ca="1" si="15"/>
        <v>2</v>
      </c>
      <c r="Z50" s="18">
        <f t="shared" ca="1" si="16"/>
        <v>800</v>
      </c>
      <c r="AA50" s="50">
        <f t="shared" ca="1" si="17"/>
        <v>85</v>
      </c>
      <c r="AB50" s="50" t="str">
        <f t="shared" ca="1" si="28"/>
        <v>-</v>
      </c>
      <c r="AC50" s="18" t="str">
        <f t="shared" ca="1" si="29"/>
        <v>0</v>
      </c>
      <c r="AD50" s="18">
        <f t="shared" ca="1" si="30"/>
        <v>240</v>
      </c>
      <c r="AE50" s="18">
        <f t="shared" si="18"/>
        <v>120</v>
      </c>
      <c r="AF50" s="18">
        <f t="shared" ca="1" si="31"/>
        <v>30</v>
      </c>
      <c r="AG50" s="18">
        <f t="shared" ca="1" si="7"/>
        <v>390</v>
      </c>
    </row>
    <row r="51" spans="13:33" x14ac:dyDescent="0.3">
      <c r="M51" s="49">
        <v>50</v>
      </c>
      <c r="N51" s="50">
        <f t="shared" ca="1" si="10"/>
        <v>51</v>
      </c>
      <c r="O51" s="50">
        <f t="shared" ca="1" si="11"/>
        <v>8</v>
      </c>
      <c r="P51" s="50">
        <f t="shared" ca="1" si="20"/>
        <v>141.01499999999999</v>
      </c>
      <c r="Q51" s="50">
        <f t="shared" ca="1" si="12"/>
        <v>149.01499999999999</v>
      </c>
      <c r="R51" s="50">
        <f t="shared" ca="1" si="13"/>
        <v>13</v>
      </c>
      <c r="S51" s="50">
        <f t="shared" ca="1" si="24"/>
        <v>2</v>
      </c>
      <c r="T51" s="50">
        <f t="shared" ca="1" si="25"/>
        <v>147.01499999999999</v>
      </c>
      <c r="U51" s="27">
        <f t="shared" ca="1" si="26"/>
        <v>0.74507499999999993</v>
      </c>
      <c r="V51" s="50">
        <f t="shared" ca="1" si="21"/>
        <v>2</v>
      </c>
      <c r="W51" s="50" t="str">
        <f t="shared" ca="1" si="27"/>
        <v>-</v>
      </c>
      <c r="X51" s="50">
        <f t="shared" ca="1" si="14"/>
        <v>28</v>
      </c>
      <c r="Y51" s="50">
        <f t="shared" ca="1" si="15"/>
        <v>0</v>
      </c>
      <c r="Z51" s="18">
        <f t="shared" ca="1" si="16"/>
        <v>0</v>
      </c>
      <c r="AA51" s="50">
        <f t="shared" ca="1" si="17"/>
        <v>84</v>
      </c>
      <c r="AB51" s="50" t="str">
        <f t="shared" ca="1" si="28"/>
        <v>-</v>
      </c>
      <c r="AC51" s="18" t="str">
        <f t="shared" ca="1" si="29"/>
        <v>0</v>
      </c>
      <c r="AD51" s="18">
        <f t="shared" ca="1" si="30"/>
        <v>0</v>
      </c>
      <c r="AE51" s="18">
        <f t="shared" si="18"/>
        <v>120</v>
      </c>
      <c r="AF51" s="18">
        <f t="shared" ca="1" si="31"/>
        <v>30</v>
      </c>
      <c r="AG51" s="18">
        <f t="shared" ca="1" si="7"/>
        <v>150</v>
      </c>
    </row>
    <row r="52" spans="13:33" x14ac:dyDescent="0.3">
      <c r="M52" s="49">
        <v>51</v>
      </c>
      <c r="N52" s="50">
        <f t="shared" ca="1" si="10"/>
        <v>5</v>
      </c>
      <c r="O52" s="50">
        <f t="shared" ca="1" si="11"/>
        <v>5</v>
      </c>
      <c r="P52" s="50">
        <f t="shared" ca="1" si="20"/>
        <v>147.01499999999999</v>
      </c>
      <c r="Q52" s="50">
        <f t="shared" ca="1" si="12"/>
        <v>152.01499999999999</v>
      </c>
      <c r="R52" s="50">
        <f t="shared" ca="1" si="13"/>
        <v>48</v>
      </c>
      <c r="S52" s="50">
        <f t="shared" ca="1" si="24"/>
        <v>6</v>
      </c>
      <c r="T52" s="50">
        <f t="shared" ca="1" si="25"/>
        <v>130.81349999999998</v>
      </c>
      <c r="U52" s="27">
        <f t="shared" ca="1" si="26"/>
        <v>0.76007499999999995</v>
      </c>
      <c r="V52" s="50">
        <f t="shared" ca="1" si="21"/>
        <v>2</v>
      </c>
      <c r="W52" s="50">
        <f t="shared" ca="1" si="27"/>
        <v>15.201499999999999</v>
      </c>
      <c r="X52" s="50">
        <f t="shared" ca="1" si="14"/>
        <v>92</v>
      </c>
      <c r="Y52" s="50">
        <f t="shared" ca="1" si="15"/>
        <v>3</v>
      </c>
      <c r="Z52" s="18">
        <f t="shared" ca="1" si="16"/>
        <v>1200</v>
      </c>
      <c r="AA52" s="50">
        <f t="shared" ca="1" si="17"/>
        <v>5</v>
      </c>
      <c r="AB52" s="50">
        <f t="shared" ca="1" si="28"/>
        <v>3.0403000000000002</v>
      </c>
      <c r="AC52" s="18">
        <f t="shared" ca="1" si="29"/>
        <v>1216.1200000000001</v>
      </c>
      <c r="AD52" s="18">
        <f t="shared" ca="1" si="30"/>
        <v>360</v>
      </c>
      <c r="AE52" s="18">
        <f t="shared" si="18"/>
        <v>120</v>
      </c>
      <c r="AF52" s="18">
        <f t="shared" ca="1" si="31"/>
        <v>30</v>
      </c>
      <c r="AG52" s="18">
        <f t="shared" ca="1" si="7"/>
        <v>1726.1200000000001</v>
      </c>
    </row>
    <row r="53" spans="13:33" x14ac:dyDescent="0.3">
      <c r="M53" s="49">
        <v>52</v>
      </c>
      <c r="N53" s="50">
        <f t="shared" ca="1" si="10"/>
        <v>40</v>
      </c>
      <c r="O53" s="50">
        <f t="shared" ca="1" si="11"/>
        <v>5</v>
      </c>
      <c r="P53" s="50">
        <f t="shared" ca="1" si="20"/>
        <v>130.81349999999998</v>
      </c>
      <c r="Q53" s="50">
        <f t="shared" ca="1" si="12"/>
        <v>135.81349999999998</v>
      </c>
      <c r="R53" s="50">
        <f t="shared" ca="1" si="13"/>
        <v>100</v>
      </c>
      <c r="S53" s="50">
        <f t="shared" ca="1" si="24"/>
        <v>8</v>
      </c>
      <c r="T53" s="50">
        <f t="shared" ca="1" si="25"/>
        <v>127.81349999999998</v>
      </c>
      <c r="U53" s="27">
        <f t="shared" ca="1" si="26"/>
        <v>0.67906749999999994</v>
      </c>
      <c r="V53" s="50">
        <f t="shared" ca="1" si="21"/>
        <v>2</v>
      </c>
      <c r="W53" s="50" t="str">
        <f t="shared" ca="1" si="27"/>
        <v>-</v>
      </c>
      <c r="X53" s="50">
        <f t="shared" ca="1" si="14"/>
        <v>36</v>
      </c>
      <c r="Y53" s="50">
        <f t="shared" ca="1" si="15"/>
        <v>2</v>
      </c>
      <c r="Z53" s="18">
        <f t="shared" ca="1" si="16"/>
        <v>800</v>
      </c>
      <c r="AA53" s="50">
        <f t="shared" ca="1" si="17"/>
        <v>43</v>
      </c>
      <c r="AB53" s="50" t="str">
        <f t="shared" ca="1" si="28"/>
        <v>-</v>
      </c>
      <c r="AC53" s="18" t="str">
        <f t="shared" ca="1" si="29"/>
        <v>0</v>
      </c>
      <c r="AD53" s="18">
        <f t="shared" ca="1" si="30"/>
        <v>240</v>
      </c>
      <c r="AE53" s="18">
        <f t="shared" si="18"/>
        <v>120</v>
      </c>
      <c r="AF53" s="18">
        <f t="shared" ca="1" si="31"/>
        <v>30</v>
      </c>
      <c r="AG53" s="18">
        <f t="shared" ca="1" si="7"/>
        <v>390</v>
      </c>
    </row>
    <row r="54" spans="13:33" x14ac:dyDescent="0.3">
      <c r="M54" s="49">
        <v>53</v>
      </c>
      <c r="N54" s="50">
        <f t="shared" ca="1" si="10"/>
        <v>48</v>
      </c>
      <c r="O54" s="50">
        <f t="shared" ca="1" si="11"/>
        <v>8</v>
      </c>
      <c r="P54" s="50">
        <f t="shared" ca="1" si="20"/>
        <v>127.81349999999998</v>
      </c>
      <c r="Q54" s="50">
        <f t="shared" ca="1" si="12"/>
        <v>135.81349999999998</v>
      </c>
      <c r="R54" s="50">
        <f t="shared" ca="1" si="13"/>
        <v>79</v>
      </c>
      <c r="S54" s="50">
        <f t="shared" ca="1" si="24"/>
        <v>8</v>
      </c>
      <c r="T54" s="50">
        <f t="shared" ca="1" si="25"/>
        <v>127.81349999999998</v>
      </c>
      <c r="U54" s="27">
        <f t="shared" ca="1" si="26"/>
        <v>0.67906749999999994</v>
      </c>
      <c r="V54" s="50">
        <f t="shared" ca="1" si="21"/>
        <v>2</v>
      </c>
      <c r="W54" s="50" t="str">
        <f t="shared" ca="1" si="27"/>
        <v>-</v>
      </c>
      <c r="X54" s="50">
        <f t="shared" ca="1" si="14"/>
        <v>87</v>
      </c>
      <c r="Y54" s="50">
        <f t="shared" ca="1" si="15"/>
        <v>4</v>
      </c>
      <c r="Z54" s="18">
        <f t="shared" ca="1" si="16"/>
        <v>1600</v>
      </c>
      <c r="AA54" s="50">
        <f t="shared" ca="1" si="17"/>
        <v>74</v>
      </c>
      <c r="AB54" s="50" t="str">
        <f t="shared" ca="1" si="28"/>
        <v>-</v>
      </c>
      <c r="AC54" s="18" t="str">
        <f t="shared" ca="1" si="29"/>
        <v>0</v>
      </c>
      <c r="AD54" s="18">
        <f t="shared" ca="1" si="30"/>
        <v>480</v>
      </c>
      <c r="AE54" s="18">
        <f t="shared" si="18"/>
        <v>120</v>
      </c>
      <c r="AF54" s="18">
        <f t="shared" ca="1" si="31"/>
        <v>30</v>
      </c>
      <c r="AG54" s="18">
        <f t="shared" ca="1" si="7"/>
        <v>630</v>
      </c>
    </row>
    <row r="55" spans="13:33" x14ac:dyDescent="0.3">
      <c r="M55" s="49">
        <v>54</v>
      </c>
      <c r="N55" s="50">
        <f t="shared" ca="1" si="10"/>
        <v>52</v>
      </c>
      <c r="O55" s="50">
        <f t="shared" ca="1" si="11"/>
        <v>8</v>
      </c>
      <c r="P55" s="50">
        <f t="shared" ca="1" si="20"/>
        <v>127.81349999999998</v>
      </c>
      <c r="Q55" s="50">
        <f t="shared" ca="1" si="12"/>
        <v>135.81349999999998</v>
      </c>
      <c r="R55" s="50">
        <f t="shared" ca="1" si="13"/>
        <v>85</v>
      </c>
      <c r="S55" s="50">
        <f t="shared" ca="1" si="24"/>
        <v>8</v>
      </c>
      <c r="T55" s="50">
        <f t="shared" ca="1" si="25"/>
        <v>127.81349999999998</v>
      </c>
      <c r="U55" s="27">
        <f t="shared" ca="1" si="26"/>
        <v>0.67906749999999994</v>
      </c>
      <c r="V55" s="50">
        <f t="shared" ca="1" si="21"/>
        <v>2</v>
      </c>
      <c r="W55" s="50" t="str">
        <f t="shared" ca="1" si="27"/>
        <v>-</v>
      </c>
      <c r="X55" s="50">
        <f t="shared" ca="1" si="14"/>
        <v>16</v>
      </c>
      <c r="Y55" s="50">
        <f t="shared" ca="1" si="15"/>
        <v>2</v>
      </c>
      <c r="Z55" s="18">
        <f t="shared" ca="1" si="16"/>
        <v>800</v>
      </c>
      <c r="AA55" s="50">
        <f t="shared" ca="1" si="17"/>
        <v>87</v>
      </c>
      <c r="AB55" s="50" t="str">
        <f t="shared" ca="1" si="28"/>
        <v>-</v>
      </c>
      <c r="AC55" s="18" t="str">
        <f t="shared" ca="1" si="29"/>
        <v>0</v>
      </c>
      <c r="AD55" s="18">
        <f t="shared" ca="1" si="30"/>
        <v>240</v>
      </c>
      <c r="AE55" s="18">
        <f t="shared" si="18"/>
        <v>120</v>
      </c>
      <c r="AF55" s="18">
        <f t="shared" ca="1" si="31"/>
        <v>30</v>
      </c>
      <c r="AG55" s="18">
        <f t="shared" ca="1" si="7"/>
        <v>390</v>
      </c>
    </row>
    <row r="56" spans="13:33" x14ac:dyDescent="0.3">
      <c r="M56" s="49">
        <v>55</v>
      </c>
      <c r="N56" s="50">
        <f t="shared" ca="1" si="10"/>
        <v>10</v>
      </c>
      <c r="O56" s="50">
        <f t="shared" ca="1" si="11"/>
        <v>5</v>
      </c>
      <c r="P56" s="50">
        <f t="shared" ca="1" si="20"/>
        <v>127.81349999999998</v>
      </c>
      <c r="Q56" s="50">
        <f t="shared" ca="1" si="12"/>
        <v>132.81349999999998</v>
      </c>
      <c r="R56" s="50">
        <f t="shared" ca="1" si="13"/>
        <v>31</v>
      </c>
      <c r="S56" s="50">
        <f t="shared" ca="1" si="24"/>
        <v>4</v>
      </c>
      <c r="T56" s="50">
        <f t="shared" ca="1" si="25"/>
        <v>128.81349999999998</v>
      </c>
      <c r="U56" s="27">
        <f t="shared" ca="1" si="26"/>
        <v>0.66406749999999992</v>
      </c>
      <c r="V56" s="50">
        <f t="shared" ca="1" si="21"/>
        <v>2</v>
      </c>
      <c r="W56" s="50" t="str">
        <f t="shared" ca="1" si="27"/>
        <v>-</v>
      </c>
      <c r="X56" s="50">
        <f t="shared" ca="1" si="14"/>
        <v>29</v>
      </c>
      <c r="Y56" s="50">
        <f t="shared" ca="1" si="15"/>
        <v>1</v>
      </c>
      <c r="Z56" s="18">
        <f t="shared" ca="1" si="16"/>
        <v>400</v>
      </c>
      <c r="AA56" s="50">
        <f t="shared" ca="1" si="17"/>
        <v>27</v>
      </c>
      <c r="AB56" s="50" t="str">
        <f t="shared" ca="1" si="28"/>
        <v>-</v>
      </c>
      <c r="AC56" s="18" t="str">
        <f t="shared" ca="1" si="29"/>
        <v>0</v>
      </c>
      <c r="AD56" s="18">
        <f t="shared" ca="1" si="30"/>
        <v>120</v>
      </c>
      <c r="AE56" s="18">
        <f t="shared" si="18"/>
        <v>120</v>
      </c>
      <c r="AF56" s="18">
        <f t="shared" ca="1" si="31"/>
        <v>30</v>
      </c>
      <c r="AG56" s="18">
        <f t="shared" ca="1" si="7"/>
        <v>270</v>
      </c>
    </row>
    <row r="57" spans="13:33" x14ac:dyDescent="0.3">
      <c r="M57" s="49">
        <v>56</v>
      </c>
      <c r="N57" s="50">
        <f t="shared" ca="1" si="10"/>
        <v>61</v>
      </c>
      <c r="O57" s="50">
        <f t="shared" ca="1" si="11"/>
        <v>8</v>
      </c>
      <c r="P57" s="50">
        <f t="shared" ca="1" si="20"/>
        <v>128.81349999999998</v>
      </c>
      <c r="Q57" s="50">
        <f t="shared" ca="1" si="12"/>
        <v>136.81349999999998</v>
      </c>
      <c r="R57" s="50">
        <f t="shared" ca="1" si="13"/>
        <v>70</v>
      </c>
      <c r="S57" s="50">
        <f t="shared" ca="1" si="24"/>
        <v>6</v>
      </c>
      <c r="T57" s="50">
        <f t="shared" ca="1" si="25"/>
        <v>130.81349999999998</v>
      </c>
      <c r="U57" s="27">
        <f t="shared" ca="1" si="26"/>
        <v>0.68406749999999983</v>
      </c>
      <c r="V57" s="50">
        <f t="shared" ca="1" si="21"/>
        <v>2</v>
      </c>
      <c r="W57" s="50" t="str">
        <f t="shared" ca="1" si="27"/>
        <v>-</v>
      </c>
      <c r="X57" s="50">
        <f t="shared" ca="1" si="14"/>
        <v>30</v>
      </c>
      <c r="Y57" s="50">
        <f t="shared" ca="1" si="15"/>
        <v>1</v>
      </c>
      <c r="Z57" s="18">
        <f t="shared" ca="1" si="16"/>
        <v>400</v>
      </c>
      <c r="AA57" s="50">
        <f t="shared" ca="1" si="17"/>
        <v>95</v>
      </c>
      <c r="AB57" s="50" t="str">
        <f t="shared" ca="1" si="28"/>
        <v>-</v>
      </c>
      <c r="AC57" s="18" t="str">
        <f t="shared" ca="1" si="29"/>
        <v>0</v>
      </c>
      <c r="AD57" s="18">
        <f t="shared" ca="1" si="30"/>
        <v>120</v>
      </c>
      <c r="AE57" s="18">
        <f t="shared" si="18"/>
        <v>120</v>
      </c>
      <c r="AF57" s="18">
        <f t="shared" ca="1" si="31"/>
        <v>30</v>
      </c>
      <c r="AG57" s="18">
        <f t="shared" ca="1" si="7"/>
        <v>270</v>
      </c>
    </row>
    <row r="58" spans="13:33" x14ac:dyDescent="0.3">
      <c r="M58" s="49">
        <v>57</v>
      </c>
      <c r="N58" s="50">
        <f t="shared" ca="1" si="10"/>
        <v>49</v>
      </c>
      <c r="O58" s="50">
        <f t="shared" ca="1" si="11"/>
        <v>8</v>
      </c>
      <c r="P58" s="50">
        <f t="shared" ca="1" si="20"/>
        <v>130.81349999999998</v>
      </c>
      <c r="Q58" s="50">
        <f t="shared" ca="1" si="12"/>
        <v>138.81349999999998</v>
      </c>
      <c r="R58" s="50">
        <f t="shared" ca="1" si="13"/>
        <v>62</v>
      </c>
      <c r="S58" s="50">
        <f t="shared" ca="1" si="24"/>
        <v>6</v>
      </c>
      <c r="T58" s="50">
        <f t="shared" ca="1" si="25"/>
        <v>132.81349999999998</v>
      </c>
      <c r="U58" s="27">
        <f t="shared" ca="1" si="26"/>
        <v>0.69406749999999984</v>
      </c>
      <c r="V58" s="50">
        <f t="shared" ca="1" si="21"/>
        <v>2</v>
      </c>
      <c r="W58" s="50" t="str">
        <f t="shared" ca="1" si="27"/>
        <v>-</v>
      </c>
      <c r="X58" s="50">
        <f t="shared" ca="1" si="14"/>
        <v>80</v>
      </c>
      <c r="Y58" s="50">
        <f t="shared" ca="1" si="15"/>
        <v>2</v>
      </c>
      <c r="Z58" s="18">
        <f t="shared" ca="1" si="16"/>
        <v>800</v>
      </c>
      <c r="AA58" s="50">
        <f t="shared" ca="1" si="17"/>
        <v>27</v>
      </c>
      <c r="AB58" s="50" t="str">
        <f t="shared" ca="1" si="28"/>
        <v>-</v>
      </c>
      <c r="AC58" s="18" t="str">
        <f t="shared" ca="1" si="29"/>
        <v>0</v>
      </c>
      <c r="AD58" s="18">
        <f t="shared" ca="1" si="30"/>
        <v>240</v>
      </c>
      <c r="AE58" s="18">
        <f t="shared" si="18"/>
        <v>120</v>
      </c>
      <c r="AF58" s="18">
        <f t="shared" ca="1" si="31"/>
        <v>30</v>
      </c>
      <c r="AG58" s="18">
        <f t="shared" ca="1" si="7"/>
        <v>390</v>
      </c>
    </row>
    <row r="59" spans="13:33" x14ac:dyDescent="0.3">
      <c r="M59" s="49">
        <v>58</v>
      </c>
      <c r="N59" s="50">
        <f t="shared" ca="1" si="10"/>
        <v>41</v>
      </c>
      <c r="O59" s="50">
        <f t="shared" ca="1" si="11"/>
        <v>5</v>
      </c>
      <c r="P59" s="50">
        <f t="shared" ca="1" si="20"/>
        <v>132.81349999999998</v>
      </c>
      <c r="Q59" s="50">
        <f t="shared" ca="1" si="12"/>
        <v>137.81349999999998</v>
      </c>
      <c r="R59" s="50">
        <f t="shared" ca="1" si="13"/>
        <v>9</v>
      </c>
      <c r="S59" s="50">
        <f t="shared" ca="1" si="24"/>
        <v>2</v>
      </c>
      <c r="T59" s="50">
        <f t="shared" ca="1" si="25"/>
        <v>135.81349999999998</v>
      </c>
      <c r="U59" s="27">
        <f t="shared" ca="1" si="26"/>
        <v>0.68906749999999983</v>
      </c>
      <c r="V59" s="50">
        <f t="shared" ca="1" si="21"/>
        <v>2</v>
      </c>
      <c r="W59" s="50" t="str">
        <f t="shared" ca="1" si="27"/>
        <v>-</v>
      </c>
      <c r="X59" s="50">
        <f t="shared" ca="1" si="14"/>
        <v>96</v>
      </c>
      <c r="Y59" s="50">
        <f t="shared" ca="1" si="15"/>
        <v>1</v>
      </c>
      <c r="Z59" s="18">
        <f t="shared" ca="1" si="16"/>
        <v>400</v>
      </c>
      <c r="AA59" s="50">
        <f t="shared" ca="1" si="17"/>
        <v>87</v>
      </c>
      <c r="AB59" s="50" t="str">
        <f t="shared" ca="1" si="28"/>
        <v>-</v>
      </c>
      <c r="AC59" s="18" t="str">
        <f t="shared" ca="1" si="29"/>
        <v>0</v>
      </c>
      <c r="AD59" s="18">
        <f t="shared" ca="1" si="30"/>
        <v>120</v>
      </c>
      <c r="AE59" s="18">
        <f t="shared" si="18"/>
        <v>120</v>
      </c>
      <c r="AF59" s="18">
        <f t="shared" ca="1" si="31"/>
        <v>30</v>
      </c>
      <c r="AG59" s="18">
        <f t="shared" ca="1" si="7"/>
        <v>270</v>
      </c>
    </row>
    <row r="60" spans="13:33" x14ac:dyDescent="0.3">
      <c r="M60" s="49">
        <v>59</v>
      </c>
      <c r="N60" s="50">
        <f t="shared" ca="1" si="10"/>
        <v>50</v>
      </c>
      <c r="O60" s="50">
        <f t="shared" ca="1" si="11"/>
        <v>8</v>
      </c>
      <c r="P60" s="50">
        <f t="shared" ca="1" si="20"/>
        <v>135.81349999999998</v>
      </c>
      <c r="Q60" s="50">
        <f t="shared" ca="1" si="12"/>
        <v>143.81349999999998</v>
      </c>
      <c r="R60" s="50">
        <f t="shared" ca="1" si="13"/>
        <v>16</v>
      </c>
      <c r="S60" s="50">
        <f t="shared" ca="1" si="24"/>
        <v>4</v>
      </c>
      <c r="T60" s="50">
        <f t="shared" ca="1" si="25"/>
        <v>139.81349999999998</v>
      </c>
      <c r="U60" s="27">
        <f t="shared" ca="1" si="26"/>
        <v>0.71906749999999986</v>
      </c>
      <c r="V60" s="50">
        <f t="shared" ca="1" si="21"/>
        <v>2</v>
      </c>
      <c r="W60" s="50" t="str">
        <f t="shared" ca="1" si="27"/>
        <v>-</v>
      </c>
      <c r="X60" s="50">
        <f t="shared" ca="1" si="14"/>
        <v>95</v>
      </c>
      <c r="Y60" s="50">
        <f t="shared" ca="1" si="15"/>
        <v>2</v>
      </c>
      <c r="Z60" s="18">
        <f t="shared" ca="1" si="16"/>
        <v>800</v>
      </c>
      <c r="AA60" s="50">
        <f t="shared" ca="1" si="17"/>
        <v>11</v>
      </c>
      <c r="AB60" s="50" t="str">
        <f t="shared" ca="1" si="28"/>
        <v>-</v>
      </c>
      <c r="AC60" s="18" t="str">
        <f t="shared" ca="1" si="29"/>
        <v>0</v>
      </c>
      <c r="AD60" s="18">
        <f t="shared" ca="1" si="30"/>
        <v>240</v>
      </c>
      <c r="AE60" s="18">
        <f t="shared" si="18"/>
        <v>120</v>
      </c>
      <c r="AF60" s="18">
        <f t="shared" ca="1" si="31"/>
        <v>30</v>
      </c>
      <c r="AG60" s="18">
        <f t="shared" ca="1" si="7"/>
        <v>390</v>
      </c>
    </row>
    <row r="61" spans="13:33" x14ac:dyDescent="0.3">
      <c r="M61" s="49">
        <v>60</v>
      </c>
      <c r="N61" s="50">
        <f t="shared" ca="1" si="10"/>
        <v>17</v>
      </c>
      <c r="O61" s="50">
        <f t="shared" ca="1" si="11"/>
        <v>5</v>
      </c>
      <c r="P61" s="50">
        <f t="shared" ca="1" si="20"/>
        <v>139.81349999999998</v>
      </c>
      <c r="Q61" s="50">
        <f t="shared" ca="1" si="12"/>
        <v>144.81349999999998</v>
      </c>
      <c r="R61" s="50">
        <f t="shared" ca="1" si="13"/>
        <v>52</v>
      </c>
      <c r="S61" s="50">
        <f t="shared" ca="1" si="24"/>
        <v>6</v>
      </c>
      <c r="T61" s="50">
        <f t="shared" ca="1" si="25"/>
        <v>138.81349999999998</v>
      </c>
      <c r="U61" s="27">
        <f t="shared" ca="1" si="26"/>
        <v>0.72406749999999986</v>
      </c>
      <c r="V61" s="50">
        <f t="shared" ca="1" si="21"/>
        <v>2</v>
      </c>
      <c r="W61" s="50" t="str">
        <f t="shared" ca="1" si="27"/>
        <v>-</v>
      </c>
      <c r="X61" s="50">
        <f t="shared" ca="1" si="14"/>
        <v>17</v>
      </c>
      <c r="Y61" s="50">
        <f t="shared" ca="1" si="15"/>
        <v>1</v>
      </c>
      <c r="Z61" s="18">
        <f t="shared" ca="1" si="16"/>
        <v>400</v>
      </c>
      <c r="AA61" s="50">
        <f t="shared" ca="1" si="17"/>
        <v>41</v>
      </c>
      <c r="AB61" s="50" t="str">
        <f t="shared" ca="1" si="28"/>
        <v>-</v>
      </c>
      <c r="AC61" s="18" t="str">
        <f t="shared" ca="1" si="29"/>
        <v>0</v>
      </c>
      <c r="AD61" s="18">
        <f t="shared" ca="1" si="30"/>
        <v>120</v>
      </c>
      <c r="AE61" s="18">
        <f t="shared" si="18"/>
        <v>120</v>
      </c>
      <c r="AF61" s="18">
        <f t="shared" ca="1" si="31"/>
        <v>30</v>
      </c>
      <c r="AG61" s="18">
        <f t="shared" ca="1" si="7"/>
        <v>270</v>
      </c>
    </row>
    <row r="62" spans="13:33" x14ac:dyDescent="0.3">
      <c r="M62" s="49">
        <v>61</v>
      </c>
      <c r="N62" s="50">
        <f t="shared" ca="1" si="10"/>
        <v>96</v>
      </c>
      <c r="O62" s="50">
        <f t="shared" ca="1" si="11"/>
        <v>18</v>
      </c>
      <c r="P62" s="50">
        <f t="shared" ca="1" si="20"/>
        <v>138.81349999999998</v>
      </c>
      <c r="Q62" s="50">
        <f t="shared" ca="1" si="12"/>
        <v>156.81349999999998</v>
      </c>
      <c r="R62" s="50">
        <f t="shared" ca="1" si="13"/>
        <v>34</v>
      </c>
      <c r="S62" s="50">
        <f t="shared" ca="1" si="24"/>
        <v>4</v>
      </c>
      <c r="T62" s="50">
        <f t="shared" ca="1" si="25"/>
        <v>137.13214999999997</v>
      </c>
      <c r="U62" s="27">
        <f t="shared" ca="1" si="26"/>
        <v>0.78406749999999992</v>
      </c>
      <c r="V62" s="50">
        <f t="shared" ca="1" si="21"/>
        <v>2</v>
      </c>
      <c r="W62" s="50">
        <f t="shared" ca="1" si="27"/>
        <v>15.681349999999998</v>
      </c>
      <c r="X62" s="50">
        <f t="shared" ca="1" si="14"/>
        <v>77</v>
      </c>
      <c r="Y62" s="50">
        <f t="shared" ca="1" si="15"/>
        <v>2</v>
      </c>
      <c r="Z62" s="18">
        <f t="shared" ca="1" si="16"/>
        <v>800</v>
      </c>
      <c r="AA62" s="50">
        <f t="shared" ca="1" si="17"/>
        <v>79</v>
      </c>
      <c r="AB62" s="50">
        <f t="shared" ca="1" si="28"/>
        <v>6.2725399999999993</v>
      </c>
      <c r="AC62" s="18">
        <f t="shared" ca="1" si="29"/>
        <v>2509.0159999999996</v>
      </c>
      <c r="AD62" s="18">
        <f t="shared" ca="1" si="30"/>
        <v>240</v>
      </c>
      <c r="AE62" s="18">
        <f t="shared" si="18"/>
        <v>120</v>
      </c>
      <c r="AF62" s="18">
        <f t="shared" ca="1" si="31"/>
        <v>30</v>
      </c>
      <c r="AG62" s="18">
        <f t="shared" ca="1" si="7"/>
        <v>2899.0159999999996</v>
      </c>
    </row>
    <row r="63" spans="13:33" x14ac:dyDescent="0.3">
      <c r="M63" s="49">
        <v>62</v>
      </c>
      <c r="N63" s="50">
        <f t="shared" ca="1" si="10"/>
        <v>77</v>
      </c>
      <c r="O63" s="50">
        <f t="shared" ca="1" si="11"/>
        <v>12</v>
      </c>
      <c r="P63" s="50">
        <f t="shared" ca="1" si="20"/>
        <v>137.13214999999997</v>
      </c>
      <c r="Q63" s="50">
        <f t="shared" ca="1" si="12"/>
        <v>149.13214999999997</v>
      </c>
      <c r="R63" s="50">
        <f t="shared" ca="1" si="13"/>
        <v>61</v>
      </c>
      <c r="S63" s="50">
        <f t="shared" ca="1" si="24"/>
        <v>6</v>
      </c>
      <c r="T63" s="50">
        <f t="shared" ca="1" si="25"/>
        <v>143.13214999999997</v>
      </c>
      <c r="U63" s="27">
        <f t="shared" ca="1" si="26"/>
        <v>0.74566074999999987</v>
      </c>
      <c r="V63" s="50">
        <f t="shared" ca="1" si="21"/>
        <v>2</v>
      </c>
      <c r="W63" s="50" t="str">
        <f t="shared" ca="1" si="27"/>
        <v>-</v>
      </c>
      <c r="X63" s="50">
        <f t="shared" ca="1" si="14"/>
        <v>29</v>
      </c>
      <c r="Y63" s="50">
        <f t="shared" ca="1" si="15"/>
        <v>1</v>
      </c>
      <c r="Z63" s="18">
        <f t="shared" ca="1" si="16"/>
        <v>400</v>
      </c>
      <c r="AA63" s="50">
        <f t="shared" ca="1" si="17"/>
        <v>32</v>
      </c>
      <c r="AB63" s="50" t="str">
        <f t="shared" ca="1" si="28"/>
        <v>-</v>
      </c>
      <c r="AC63" s="18" t="str">
        <f t="shared" ca="1" si="29"/>
        <v>0</v>
      </c>
      <c r="AD63" s="18">
        <f t="shared" ca="1" si="30"/>
        <v>120</v>
      </c>
      <c r="AE63" s="18">
        <f t="shared" si="18"/>
        <v>120</v>
      </c>
      <c r="AF63" s="18">
        <f t="shared" ca="1" si="31"/>
        <v>30</v>
      </c>
      <c r="AG63" s="18">
        <f t="shared" ca="1" si="7"/>
        <v>270</v>
      </c>
    </row>
    <row r="64" spans="13:33" x14ac:dyDescent="0.3">
      <c r="M64" s="49">
        <v>63</v>
      </c>
      <c r="N64" s="50">
        <f t="shared" ca="1" si="10"/>
        <v>82</v>
      </c>
      <c r="O64" s="50">
        <f t="shared" ca="1" si="11"/>
        <v>12</v>
      </c>
      <c r="P64" s="50">
        <f t="shared" ca="1" si="20"/>
        <v>143.13214999999997</v>
      </c>
      <c r="Q64" s="50">
        <f t="shared" ca="1" si="12"/>
        <v>155.13214999999997</v>
      </c>
      <c r="R64" s="50">
        <f t="shared" ca="1" si="13"/>
        <v>77</v>
      </c>
      <c r="S64" s="50">
        <f t="shared" ca="1" si="24"/>
        <v>8</v>
      </c>
      <c r="T64" s="50">
        <f t="shared" ca="1" si="25"/>
        <v>131.61893499999996</v>
      </c>
      <c r="U64" s="27">
        <f t="shared" ca="1" si="26"/>
        <v>0.77566074999999979</v>
      </c>
      <c r="V64" s="50">
        <f t="shared" ca="1" si="21"/>
        <v>2</v>
      </c>
      <c r="W64" s="50">
        <f t="shared" ca="1" si="27"/>
        <v>15.513214999999997</v>
      </c>
      <c r="X64" s="50">
        <f t="shared" ca="1" si="14"/>
        <v>96</v>
      </c>
      <c r="Y64" s="50">
        <f t="shared" ca="1" si="15"/>
        <v>5</v>
      </c>
      <c r="Z64" s="18">
        <f t="shared" ca="1" si="16"/>
        <v>2000</v>
      </c>
      <c r="AA64" s="50">
        <f t="shared" ca="1" si="17"/>
        <v>72</v>
      </c>
      <c r="AB64" s="50">
        <f t="shared" ca="1" si="28"/>
        <v>6.2052859999999992</v>
      </c>
      <c r="AC64" s="18">
        <f t="shared" ca="1" si="29"/>
        <v>2482.1143999999995</v>
      </c>
      <c r="AD64" s="18">
        <f t="shared" ca="1" si="30"/>
        <v>600</v>
      </c>
      <c r="AE64" s="18">
        <f t="shared" si="18"/>
        <v>120</v>
      </c>
      <c r="AF64" s="18">
        <f t="shared" ca="1" si="31"/>
        <v>30</v>
      </c>
      <c r="AG64" s="18">
        <f t="shared" ca="1" si="7"/>
        <v>3232.1143999999995</v>
      </c>
    </row>
    <row r="65" spans="13:33" x14ac:dyDescent="0.3">
      <c r="M65" s="49">
        <v>64</v>
      </c>
      <c r="N65" s="50">
        <f t="shared" ca="1" si="10"/>
        <v>13</v>
      </c>
      <c r="O65" s="50">
        <f t="shared" ca="1" si="11"/>
        <v>5</v>
      </c>
      <c r="P65" s="50">
        <f t="shared" ca="1" si="20"/>
        <v>131.61893499999996</v>
      </c>
      <c r="Q65" s="50">
        <f t="shared" ca="1" si="12"/>
        <v>136.61893499999996</v>
      </c>
      <c r="R65" s="50">
        <f t="shared" ca="1" si="13"/>
        <v>93</v>
      </c>
      <c r="S65" s="50">
        <f t="shared" ca="1" si="24"/>
        <v>8</v>
      </c>
      <c r="T65" s="50">
        <f t="shared" ca="1" si="25"/>
        <v>128.61893499999996</v>
      </c>
      <c r="U65" s="27">
        <f t="shared" ca="1" si="26"/>
        <v>0.68309467499999987</v>
      </c>
      <c r="V65" s="50">
        <f t="shared" ca="1" si="21"/>
        <v>2</v>
      </c>
      <c r="W65" s="50" t="str">
        <f t="shared" ca="1" si="27"/>
        <v>-</v>
      </c>
      <c r="X65" s="50">
        <f t="shared" ca="1" si="14"/>
        <v>15</v>
      </c>
      <c r="Y65" s="50">
        <f t="shared" ca="1" si="15"/>
        <v>2</v>
      </c>
      <c r="Z65" s="18">
        <f t="shared" ca="1" si="16"/>
        <v>800</v>
      </c>
      <c r="AA65" s="50">
        <f t="shared" ca="1" si="17"/>
        <v>54</v>
      </c>
      <c r="AB65" s="50" t="str">
        <f t="shared" ca="1" si="28"/>
        <v>-</v>
      </c>
      <c r="AC65" s="18" t="str">
        <f t="shared" ca="1" si="29"/>
        <v>0</v>
      </c>
      <c r="AD65" s="18">
        <f t="shared" ca="1" si="30"/>
        <v>240</v>
      </c>
      <c r="AE65" s="18">
        <f t="shared" si="18"/>
        <v>120</v>
      </c>
      <c r="AF65" s="18">
        <f t="shared" ca="1" si="31"/>
        <v>30</v>
      </c>
      <c r="AG65" s="18">
        <f t="shared" ca="1" si="7"/>
        <v>390</v>
      </c>
    </row>
    <row r="66" spans="13:33" x14ac:dyDescent="0.3">
      <c r="M66" s="49">
        <v>65</v>
      </c>
      <c r="N66" s="50">
        <f t="shared" ca="1" si="10"/>
        <v>80</v>
      </c>
      <c r="O66" s="50">
        <f t="shared" ca="1" si="11"/>
        <v>12</v>
      </c>
      <c r="P66" s="50">
        <f t="shared" ca="1" si="20"/>
        <v>128.61893499999996</v>
      </c>
      <c r="Q66" s="50">
        <f t="shared" ca="1" si="12"/>
        <v>140.61893499999996</v>
      </c>
      <c r="R66" s="50">
        <f t="shared" ca="1" si="13"/>
        <v>20</v>
      </c>
      <c r="S66" s="50">
        <f t="shared" ref="S66:S97" ca="1" si="32">MIN(Q66,LOOKUP(R66,$D$15:$E$18,$A$15:$A$18))</f>
        <v>4</v>
      </c>
      <c r="T66" s="50">
        <f t="shared" ref="T66:T97" ca="1" si="33">IF(W66&lt;&gt;"-",Q66-S66-W66,Q66-S66)</f>
        <v>136.61893499999996</v>
      </c>
      <c r="U66" s="27">
        <f t="shared" ref="U66:U97" ca="1" si="34">Q66/($J$2*V66)</f>
        <v>0.70309467499999978</v>
      </c>
      <c r="V66" s="50">
        <f t="shared" ca="1" si="21"/>
        <v>2</v>
      </c>
      <c r="W66" s="50" t="str">
        <f t="shared" ref="W66:W97" ca="1" si="35">IF(U66&gt;=$J$7,Q66*$J$6,"-")</f>
        <v>-</v>
      </c>
      <c r="X66" s="50">
        <f t="shared" ca="1" si="14"/>
        <v>15</v>
      </c>
      <c r="Y66" s="50">
        <f t="shared" ca="1" si="15"/>
        <v>1</v>
      </c>
      <c r="Z66" s="18">
        <f t="shared" ca="1" si="16"/>
        <v>400</v>
      </c>
      <c r="AA66" s="50">
        <f t="shared" ca="1" si="17"/>
        <v>15</v>
      </c>
      <c r="AB66" s="50" t="str">
        <f t="shared" ref="AB66:AB97" ca="1" si="36">IF(W66&lt;&gt;"-",LOOKUP(AA66,$D$24:$E$29,$A$24:$A$29)*W66,"-")</f>
        <v>-</v>
      </c>
      <c r="AC66" s="18" t="str">
        <f t="shared" ref="AC66:AC97" ca="1" si="37">IF(AB66&lt;&gt;"-",AB66*$J$10,"0")</f>
        <v>0</v>
      </c>
      <c r="AD66" s="18">
        <f t="shared" ref="AD66:AD97" ca="1" si="38">Z66*$J$12</f>
        <v>120</v>
      </c>
      <c r="AE66" s="18">
        <f t="shared" si="18"/>
        <v>120</v>
      </c>
      <c r="AF66" s="18">
        <f t="shared" ca="1" si="31"/>
        <v>30</v>
      </c>
      <c r="AG66" s="18">
        <f t="shared" ref="AG66:AG129" ca="1" si="39">AC66+AE66+AF66+AD66</f>
        <v>270</v>
      </c>
    </row>
    <row r="67" spans="13:33" x14ac:dyDescent="0.3">
      <c r="M67" s="49">
        <v>66</v>
      </c>
      <c r="N67" s="50">
        <f t="shared" ref="N67:N130" ca="1" si="40">RANDBETWEEN(1,100)</f>
        <v>73</v>
      </c>
      <c r="O67" s="50">
        <f t="shared" ref="O67:O130" ca="1" si="41">LOOKUP(N67,$D$3:$E$8,$A$3:$A$8)</f>
        <v>8</v>
      </c>
      <c r="P67" s="50">
        <f t="shared" ca="1" si="20"/>
        <v>136.61893499999996</v>
      </c>
      <c r="Q67" s="50">
        <f t="shared" ref="Q67:Q130" ca="1" si="42">O67+P67</f>
        <v>144.61893499999996</v>
      </c>
      <c r="R67" s="50">
        <f t="shared" ref="R67:R130" ca="1" si="43">RANDBETWEEN(1,100)</f>
        <v>39</v>
      </c>
      <c r="S67" s="50">
        <f t="shared" ca="1" si="32"/>
        <v>4</v>
      </c>
      <c r="T67" s="50">
        <f t="shared" ca="1" si="33"/>
        <v>140.61893499999996</v>
      </c>
      <c r="U67" s="27">
        <f t="shared" ca="1" si="34"/>
        <v>0.7230946749999998</v>
      </c>
      <c r="V67" s="50">
        <f t="shared" ca="1" si="21"/>
        <v>2</v>
      </c>
      <c r="W67" s="50" t="str">
        <f t="shared" ca="1" si="35"/>
        <v>-</v>
      </c>
      <c r="X67" s="50">
        <f t="shared" ref="X67:X130" ca="1" si="44">RANDBETWEEN(1,100)</f>
        <v>34</v>
      </c>
      <c r="Y67" s="50">
        <f t="shared" ref="Y67:Y130" ca="1" si="45">ROUND(LOOKUP(X67,$D$24:$E$29,$A$24:$A$29)*S67, 0)</f>
        <v>1</v>
      </c>
      <c r="Z67" s="18">
        <f t="shared" ref="Z67:Z130" ca="1" si="46">Y67*$J$10</f>
        <v>400</v>
      </c>
      <c r="AA67" s="50">
        <f t="shared" ref="AA67:AA130" ca="1" si="47">RANDBETWEEN(1,100)</f>
        <v>61</v>
      </c>
      <c r="AB67" s="50" t="str">
        <f t="shared" ca="1" si="36"/>
        <v>-</v>
      </c>
      <c r="AC67" s="18" t="str">
        <f t="shared" ca="1" si="37"/>
        <v>0</v>
      </c>
      <c r="AD67" s="18">
        <f t="shared" ca="1" si="38"/>
        <v>120</v>
      </c>
      <c r="AE67" s="18">
        <f t="shared" ref="AE67:AE130" si="48">$J$11</f>
        <v>120</v>
      </c>
      <c r="AF67" s="18">
        <f t="shared" ref="AF67:AF98" ca="1" si="49">IF(V67&gt;V66,($J$9*V67)+$J$8*(V67-V66),$J$9*V67)</f>
        <v>30</v>
      </c>
      <c r="AG67" s="18">
        <f t="shared" ca="1" si="39"/>
        <v>270</v>
      </c>
    </row>
    <row r="68" spans="13:33" x14ac:dyDescent="0.3">
      <c r="M68" s="49">
        <v>67</v>
      </c>
      <c r="N68" s="50">
        <f t="shared" ca="1" si="40"/>
        <v>82</v>
      </c>
      <c r="O68" s="50">
        <f t="shared" ca="1" si="41"/>
        <v>12</v>
      </c>
      <c r="P68" s="50">
        <f t="shared" ref="P68:P131" ca="1" si="50">T67</f>
        <v>140.61893499999996</v>
      </c>
      <c r="Q68" s="50">
        <f t="shared" ca="1" si="42"/>
        <v>152.61893499999996</v>
      </c>
      <c r="R68" s="50">
        <f t="shared" ca="1" si="43"/>
        <v>76</v>
      </c>
      <c r="S68" s="50">
        <f t="shared" ca="1" si="32"/>
        <v>8</v>
      </c>
      <c r="T68" s="50">
        <f t="shared" ca="1" si="33"/>
        <v>129.35704149999998</v>
      </c>
      <c r="U68" s="27">
        <f t="shared" ca="1" si="34"/>
        <v>0.76309467499999983</v>
      </c>
      <c r="V68" s="50">
        <f t="shared" ref="V68:V131" ca="1" si="51">IF(U67&gt;$J$4,V67+1,IF(AND(U67&lt;$J$5,V67&lt;&gt;1),V67-1,V67))</f>
        <v>2</v>
      </c>
      <c r="W68" s="50">
        <f t="shared" ca="1" si="35"/>
        <v>15.261893499999998</v>
      </c>
      <c r="X68" s="50">
        <f t="shared" ca="1" si="44"/>
        <v>15</v>
      </c>
      <c r="Y68" s="50">
        <f t="shared" ca="1" si="45"/>
        <v>2</v>
      </c>
      <c r="Z68" s="18">
        <f t="shared" ca="1" si="46"/>
        <v>800</v>
      </c>
      <c r="AA68" s="50">
        <f t="shared" ca="1" si="47"/>
        <v>33</v>
      </c>
      <c r="AB68" s="50">
        <f t="shared" ca="1" si="36"/>
        <v>3.0523786999999998</v>
      </c>
      <c r="AC68" s="18">
        <f t="shared" ca="1" si="37"/>
        <v>1220.9514799999999</v>
      </c>
      <c r="AD68" s="18">
        <f t="shared" ca="1" si="38"/>
        <v>240</v>
      </c>
      <c r="AE68" s="18">
        <f t="shared" si="48"/>
        <v>120</v>
      </c>
      <c r="AF68" s="18">
        <f t="shared" ca="1" si="49"/>
        <v>30</v>
      </c>
      <c r="AG68" s="18">
        <f t="shared" ca="1" si="39"/>
        <v>1610.9514799999999</v>
      </c>
    </row>
    <row r="69" spans="13:33" x14ac:dyDescent="0.3">
      <c r="M69" s="49">
        <v>68</v>
      </c>
      <c r="N69" s="50">
        <f t="shared" ca="1" si="40"/>
        <v>50</v>
      </c>
      <c r="O69" s="50">
        <f t="shared" ca="1" si="41"/>
        <v>8</v>
      </c>
      <c r="P69" s="50">
        <f t="shared" ca="1" si="50"/>
        <v>129.35704149999998</v>
      </c>
      <c r="Q69" s="50">
        <f t="shared" ca="1" si="42"/>
        <v>137.35704149999998</v>
      </c>
      <c r="R69" s="50">
        <f t="shared" ca="1" si="43"/>
        <v>49</v>
      </c>
      <c r="S69" s="50">
        <f t="shared" ca="1" si="32"/>
        <v>6</v>
      </c>
      <c r="T69" s="50">
        <f t="shared" ca="1" si="33"/>
        <v>131.35704149999998</v>
      </c>
      <c r="U69" s="27">
        <f t="shared" ca="1" si="34"/>
        <v>0.68678520749999994</v>
      </c>
      <c r="V69" s="50">
        <f t="shared" ca="1" si="51"/>
        <v>2</v>
      </c>
      <c r="W69" s="50" t="str">
        <f t="shared" ca="1" si="35"/>
        <v>-</v>
      </c>
      <c r="X69" s="50">
        <f t="shared" ca="1" si="44"/>
        <v>45</v>
      </c>
      <c r="Y69" s="50">
        <f t="shared" ca="1" si="45"/>
        <v>1</v>
      </c>
      <c r="Z69" s="18">
        <f t="shared" ca="1" si="46"/>
        <v>400</v>
      </c>
      <c r="AA69" s="50">
        <f t="shared" ca="1" si="47"/>
        <v>83</v>
      </c>
      <c r="AB69" s="50" t="str">
        <f t="shared" ca="1" si="36"/>
        <v>-</v>
      </c>
      <c r="AC69" s="18" t="str">
        <f t="shared" ca="1" si="37"/>
        <v>0</v>
      </c>
      <c r="AD69" s="18">
        <f t="shared" ca="1" si="38"/>
        <v>120</v>
      </c>
      <c r="AE69" s="18">
        <f t="shared" si="48"/>
        <v>120</v>
      </c>
      <c r="AF69" s="18">
        <f t="shared" ca="1" si="49"/>
        <v>30</v>
      </c>
      <c r="AG69" s="18">
        <f t="shared" ca="1" si="39"/>
        <v>270</v>
      </c>
    </row>
    <row r="70" spans="13:33" x14ac:dyDescent="0.3">
      <c r="M70" s="49">
        <v>69</v>
      </c>
      <c r="N70" s="50">
        <f t="shared" ca="1" si="40"/>
        <v>61</v>
      </c>
      <c r="O70" s="50">
        <f t="shared" ca="1" si="41"/>
        <v>8</v>
      </c>
      <c r="P70" s="50">
        <f t="shared" ca="1" si="50"/>
        <v>131.35704149999998</v>
      </c>
      <c r="Q70" s="50">
        <f t="shared" ca="1" si="42"/>
        <v>139.35704149999998</v>
      </c>
      <c r="R70" s="50">
        <f t="shared" ca="1" si="43"/>
        <v>68</v>
      </c>
      <c r="S70" s="50">
        <f t="shared" ca="1" si="32"/>
        <v>6</v>
      </c>
      <c r="T70" s="50">
        <f t="shared" ca="1" si="33"/>
        <v>133.35704149999998</v>
      </c>
      <c r="U70" s="27">
        <f t="shared" ca="1" si="34"/>
        <v>0.69678520749999995</v>
      </c>
      <c r="V70" s="50">
        <f t="shared" ca="1" si="51"/>
        <v>2</v>
      </c>
      <c r="W70" s="50" t="str">
        <f t="shared" ca="1" si="35"/>
        <v>-</v>
      </c>
      <c r="X70" s="50">
        <f t="shared" ca="1" si="44"/>
        <v>99</v>
      </c>
      <c r="Y70" s="50">
        <f t="shared" ca="1" si="45"/>
        <v>5</v>
      </c>
      <c r="Z70" s="18">
        <f t="shared" ca="1" si="46"/>
        <v>2000</v>
      </c>
      <c r="AA70" s="50">
        <f t="shared" ca="1" si="47"/>
        <v>43</v>
      </c>
      <c r="AB70" s="50" t="str">
        <f t="shared" ca="1" si="36"/>
        <v>-</v>
      </c>
      <c r="AC70" s="18" t="str">
        <f t="shared" ca="1" si="37"/>
        <v>0</v>
      </c>
      <c r="AD70" s="18">
        <f t="shared" ca="1" si="38"/>
        <v>600</v>
      </c>
      <c r="AE70" s="18">
        <f t="shared" si="48"/>
        <v>120</v>
      </c>
      <c r="AF70" s="18">
        <f t="shared" ca="1" si="49"/>
        <v>30</v>
      </c>
      <c r="AG70" s="18">
        <f t="shared" ca="1" si="39"/>
        <v>750</v>
      </c>
    </row>
    <row r="71" spans="13:33" x14ac:dyDescent="0.3">
      <c r="M71" s="49">
        <v>70</v>
      </c>
      <c r="N71" s="50">
        <f t="shared" ca="1" si="40"/>
        <v>40</v>
      </c>
      <c r="O71" s="50">
        <f t="shared" ca="1" si="41"/>
        <v>5</v>
      </c>
      <c r="P71" s="50">
        <f t="shared" ca="1" si="50"/>
        <v>133.35704149999998</v>
      </c>
      <c r="Q71" s="50">
        <f t="shared" ca="1" si="42"/>
        <v>138.35704149999998</v>
      </c>
      <c r="R71" s="50">
        <f t="shared" ca="1" si="43"/>
        <v>27</v>
      </c>
      <c r="S71" s="50">
        <f t="shared" ca="1" si="32"/>
        <v>4</v>
      </c>
      <c r="T71" s="50">
        <f t="shared" ca="1" si="33"/>
        <v>134.35704149999998</v>
      </c>
      <c r="U71" s="27">
        <f t="shared" ca="1" si="34"/>
        <v>0.69178520749999994</v>
      </c>
      <c r="V71" s="50">
        <f t="shared" ca="1" si="51"/>
        <v>2</v>
      </c>
      <c r="W71" s="50" t="str">
        <f t="shared" ca="1" si="35"/>
        <v>-</v>
      </c>
      <c r="X71" s="50">
        <f t="shared" ca="1" si="44"/>
        <v>79</v>
      </c>
      <c r="Y71" s="50">
        <f t="shared" ca="1" si="45"/>
        <v>2</v>
      </c>
      <c r="Z71" s="18">
        <f t="shared" ca="1" si="46"/>
        <v>800</v>
      </c>
      <c r="AA71" s="50">
        <f t="shared" ca="1" si="47"/>
        <v>30</v>
      </c>
      <c r="AB71" s="50" t="str">
        <f t="shared" ca="1" si="36"/>
        <v>-</v>
      </c>
      <c r="AC71" s="18" t="str">
        <f t="shared" ca="1" si="37"/>
        <v>0</v>
      </c>
      <c r="AD71" s="18">
        <f t="shared" ca="1" si="38"/>
        <v>240</v>
      </c>
      <c r="AE71" s="18">
        <f t="shared" si="48"/>
        <v>120</v>
      </c>
      <c r="AF71" s="18">
        <f t="shared" ca="1" si="49"/>
        <v>30</v>
      </c>
      <c r="AG71" s="18">
        <f t="shared" ca="1" si="39"/>
        <v>390</v>
      </c>
    </row>
    <row r="72" spans="13:33" x14ac:dyDescent="0.3">
      <c r="M72" s="49">
        <v>71</v>
      </c>
      <c r="N72" s="50">
        <f t="shared" ca="1" si="40"/>
        <v>97</v>
      </c>
      <c r="O72" s="50">
        <f t="shared" ca="1" si="41"/>
        <v>18</v>
      </c>
      <c r="P72" s="50">
        <f t="shared" ca="1" si="50"/>
        <v>134.35704149999998</v>
      </c>
      <c r="Q72" s="50">
        <f t="shared" ca="1" si="42"/>
        <v>152.35704149999998</v>
      </c>
      <c r="R72" s="50">
        <f t="shared" ca="1" si="43"/>
        <v>15</v>
      </c>
      <c r="S72" s="50">
        <f t="shared" ca="1" si="32"/>
        <v>2</v>
      </c>
      <c r="T72" s="50">
        <f t="shared" ca="1" si="33"/>
        <v>135.12133734999998</v>
      </c>
      <c r="U72" s="27">
        <f t="shared" ca="1" si="34"/>
        <v>0.76178520749999989</v>
      </c>
      <c r="V72" s="50">
        <f t="shared" ca="1" si="51"/>
        <v>2</v>
      </c>
      <c r="W72" s="50">
        <f t="shared" ca="1" si="35"/>
        <v>15.235704149999998</v>
      </c>
      <c r="X72" s="50">
        <f t="shared" ca="1" si="44"/>
        <v>82</v>
      </c>
      <c r="Y72" s="50">
        <f t="shared" ca="1" si="45"/>
        <v>1</v>
      </c>
      <c r="Z72" s="18">
        <f t="shared" ca="1" si="46"/>
        <v>400</v>
      </c>
      <c r="AA72" s="50">
        <f t="shared" ca="1" si="47"/>
        <v>99</v>
      </c>
      <c r="AB72" s="50">
        <f t="shared" ca="1" si="36"/>
        <v>12.18856332</v>
      </c>
      <c r="AC72" s="18">
        <f t="shared" ca="1" si="37"/>
        <v>4875.4253280000003</v>
      </c>
      <c r="AD72" s="18">
        <f t="shared" ca="1" si="38"/>
        <v>120</v>
      </c>
      <c r="AE72" s="18">
        <f t="shared" si="48"/>
        <v>120</v>
      </c>
      <c r="AF72" s="18">
        <f t="shared" ca="1" si="49"/>
        <v>30</v>
      </c>
      <c r="AG72" s="18">
        <f t="shared" ca="1" si="39"/>
        <v>5145.4253280000003</v>
      </c>
    </row>
    <row r="73" spans="13:33" x14ac:dyDescent="0.3">
      <c r="M73" s="49">
        <v>72</v>
      </c>
      <c r="N73" s="50">
        <f t="shared" ca="1" si="40"/>
        <v>31</v>
      </c>
      <c r="O73" s="50">
        <f t="shared" ca="1" si="41"/>
        <v>5</v>
      </c>
      <c r="P73" s="50">
        <f t="shared" ca="1" si="50"/>
        <v>135.12133734999998</v>
      </c>
      <c r="Q73" s="50">
        <f t="shared" ca="1" si="42"/>
        <v>140.12133734999998</v>
      </c>
      <c r="R73" s="50">
        <f t="shared" ca="1" si="43"/>
        <v>69</v>
      </c>
      <c r="S73" s="50">
        <f t="shared" ca="1" si="32"/>
        <v>6</v>
      </c>
      <c r="T73" s="50">
        <f t="shared" ca="1" si="33"/>
        <v>134.12133734999998</v>
      </c>
      <c r="U73" s="27">
        <f t="shared" ca="1" si="34"/>
        <v>0.70060668674999993</v>
      </c>
      <c r="V73" s="50">
        <f t="shared" ca="1" si="51"/>
        <v>2</v>
      </c>
      <c r="W73" s="50" t="str">
        <f t="shared" ca="1" si="35"/>
        <v>-</v>
      </c>
      <c r="X73" s="50">
        <f t="shared" ca="1" si="44"/>
        <v>49</v>
      </c>
      <c r="Y73" s="50">
        <f t="shared" ca="1" si="45"/>
        <v>1</v>
      </c>
      <c r="Z73" s="18">
        <f t="shared" ca="1" si="46"/>
        <v>400</v>
      </c>
      <c r="AA73" s="50">
        <f t="shared" ca="1" si="47"/>
        <v>64</v>
      </c>
      <c r="AB73" s="50" t="str">
        <f t="shared" ca="1" si="36"/>
        <v>-</v>
      </c>
      <c r="AC73" s="18" t="str">
        <f t="shared" ca="1" si="37"/>
        <v>0</v>
      </c>
      <c r="AD73" s="18">
        <f t="shared" ca="1" si="38"/>
        <v>120</v>
      </c>
      <c r="AE73" s="18">
        <f t="shared" si="48"/>
        <v>120</v>
      </c>
      <c r="AF73" s="18">
        <f t="shared" ca="1" si="49"/>
        <v>30</v>
      </c>
      <c r="AG73" s="18">
        <f t="shared" ca="1" si="39"/>
        <v>270</v>
      </c>
    </row>
    <row r="74" spans="13:33" x14ac:dyDescent="0.3">
      <c r="M74" s="49">
        <v>73</v>
      </c>
      <c r="N74" s="50">
        <f t="shared" ca="1" si="40"/>
        <v>54</v>
      </c>
      <c r="O74" s="50">
        <f t="shared" ca="1" si="41"/>
        <v>8</v>
      </c>
      <c r="P74" s="50">
        <f t="shared" ca="1" si="50"/>
        <v>134.12133734999998</v>
      </c>
      <c r="Q74" s="50">
        <f t="shared" ca="1" si="42"/>
        <v>142.12133734999998</v>
      </c>
      <c r="R74" s="50">
        <f t="shared" ca="1" si="43"/>
        <v>88</v>
      </c>
      <c r="S74" s="50">
        <f t="shared" ca="1" si="32"/>
        <v>8</v>
      </c>
      <c r="T74" s="50">
        <f t="shared" ca="1" si="33"/>
        <v>134.12133734999998</v>
      </c>
      <c r="U74" s="27">
        <f t="shared" ca="1" si="34"/>
        <v>0.71060668674999983</v>
      </c>
      <c r="V74" s="50">
        <f t="shared" ca="1" si="51"/>
        <v>2</v>
      </c>
      <c r="W74" s="50" t="str">
        <f t="shared" ca="1" si="35"/>
        <v>-</v>
      </c>
      <c r="X74" s="50">
        <f t="shared" ca="1" si="44"/>
        <v>10</v>
      </c>
      <c r="Y74" s="50">
        <f t="shared" ca="1" si="45"/>
        <v>2</v>
      </c>
      <c r="Z74" s="18">
        <f t="shared" ca="1" si="46"/>
        <v>800</v>
      </c>
      <c r="AA74" s="50">
        <f t="shared" ca="1" si="47"/>
        <v>41</v>
      </c>
      <c r="AB74" s="50" t="str">
        <f t="shared" ca="1" si="36"/>
        <v>-</v>
      </c>
      <c r="AC74" s="18" t="str">
        <f t="shared" ca="1" si="37"/>
        <v>0</v>
      </c>
      <c r="AD74" s="18">
        <f t="shared" ca="1" si="38"/>
        <v>240</v>
      </c>
      <c r="AE74" s="18">
        <f t="shared" si="48"/>
        <v>120</v>
      </c>
      <c r="AF74" s="18">
        <f t="shared" ca="1" si="49"/>
        <v>30</v>
      </c>
      <c r="AG74" s="18">
        <f t="shared" ca="1" si="39"/>
        <v>390</v>
      </c>
    </row>
    <row r="75" spans="13:33" x14ac:dyDescent="0.3">
      <c r="M75" s="49">
        <v>74</v>
      </c>
      <c r="N75" s="50">
        <f t="shared" ca="1" si="40"/>
        <v>82</v>
      </c>
      <c r="O75" s="50">
        <f t="shared" ca="1" si="41"/>
        <v>12</v>
      </c>
      <c r="P75" s="50">
        <f t="shared" ca="1" si="50"/>
        <v>134.12133734999998</v>
      </c>
      <c r="Q75" s="50">
        <f t="shared" ca="1" si="42"/>
        <v>146.12133734999998</v>
      </c>
      <c r="R75" s="50">
        <f t="shared" ca="1" si="43"/>
        <v>19</v>
      </c>
      <c r="S75" s="50">
        <f t="shared" ca="1" si="32"/>
        <v>4</v>
      </c>
      <c r="T75" s="50">
        <f t="shared" ca="1" si="33"/>
        <v>142.12133734999998</v>
      </c>
      <c r="U75" s="27">
        <f t="shared" ca="1" si="34"/>
        <v>0.73060668674999985</v>
      </c>
      <c r="V75" s="50">
        <f t="shared" ca="1" si="51"/>
        <v>2</v>
      </c>
      <c r="W75" s="50" t="str">
        <f t="shared" ca="1" si="35"/>
        <v>-</v>
      </c>
      <c r="X75" s="50">
        <f t="shared" ca="1" si="44"/>
        <v>75</v>
      </c>
      <c r="Y75" s="50">
        <f t="shared" ca="1" si="45"/>
        <v>2</v>
      </c>
      <c r="Z75" s="18">
        <f t="shared" ca="1" si="46"/>
        <v>800</v>
      </c>
      <c r="AA75" s="50">
        <f t="shared" ca="1" si="47"/>
        <v>44</v>
      </c>
      <c r="AB75" s="50" t="str">
        <f t="shared" ca="1" si="36"/>
        <v>-</v>
      </c>
      <c r="AC75" s="18" t="str">
        <f t="shared" ca="1" si="37"/>
        <v>0</v>
      </c>
      <c r="AD75" s="18">
        <f t="shared" ca="1" si="38"/>
        <v>240</v>
      </c>
      <c r="AE75" s="18">
        <f t="shared" si="48"/>
        <v>120</v>
      </c>
      <c r="AF75" s="18">
        <f t="shared" ca="1" si="49"/>
        <v>30</v>
      </c>
      <c r="AG75" s="18">
        <f t="shared" ca="1" si="39"/>
        <v>390</v>
      </c>
    </row>
    <row r="76" spans="13:33" x14ac:dyDescent="0.3">
      <c r="M76" s="49">
        <v>75</v>
      </c>
      <c r="N76" s="50">
        <f t="shared" ca="1" si="40"/>
        <v>49</v>
      </c>
      <c r="O76" s="50">
        <f t="shared" ca="1" si="41"/>
        <v>8</v>
      </c>
      <c r="P76" s="50">
        <f t="shared" ca="1" si="50"/>
        <v>142.12133734999998</v>
      </c>
      <c r="Q76" s="50">
        <f t="shared" ca="1" si="42"/>
        <v>150.12133734999998</v>
      </c>
      <c r="R76" s="50">
        <f t="shared" ca="1" si="43"/>
        <v>8</v>
      </c>
      <c r="S76" s="50">
        <f t="shared" ca="1" si="32"/>
        <v>2</v>
      </c>
      <c r="T76" s="50">
        <f t="shared" ca="1" si="33"/>
        <v>133.10920361499998</v>
      </c>
      <c r="U76" s="27">
        <f t="shared" ca="1" si="34"/>
        <v>0.75060668674999986</v>
      </c>
      <c r="V76" s="50">
        <f t="shared" ca="1" si="51"/>
        <v>2</v>
      </c>
      <c r="W76" s="50">
        <f t="shared" ca="1" si="35"/>
        <v>15.012133734999999</v>
      </c>
      <c r="X76" s="50">
        <f t="shared" ca="1" si="44"/>
        <v>24</v>
      </c>
      <c r="Y76" s="50">
        <f t="shared" ca="1" si="45"/>
        <v>0</v>
      </c>
      <c r="Z76" s="18">
        <f t="shared" ca="1" si="46"/>
        <v>0</v>
      </c>
      <c r="AA76" s="50">
        <f t="shared" ca="1" si="47"/>
        <v>10</v>
      </c>
      <c r="AB76" s="50">
        <f t="shared" ca="1" si="36"/>
        <v>3.0024267469999999</v>
      </c>
      <c r="AC76" s="18">
        <f t="shared" ca="1" si="37"/>
        <v>1200.9706988</v>
      </c>
      <c r="AD76" s="18">
        <f t="shared" ca="1" si="38"/>
        <v>0</v>
      </c>
      <c r="AE76" s="18">
        <f t="shared" si="48"/>
        <v>120</v>
      </c>
      <c r="AF76" s="18">
        <f t="shared" ca="1" si="49"/>
        <v>30</v>
      </c>
      <c r="AG76" s="18">
        <f t="shared" ca="1" si="39"/>
        <v>1350.9706988</v>
      </c>
    </row>
    <row r="77" spans="13:33" x14ac:dyDescent="0.3">
      <c r="M77" s="49">
        <v>76</v>
      </c>
      <c r="N77" s="50">
        <f t="shared" ca="1" si="40"/>
        <v>98</v>
      </c>
      <c r="O77" s="50">
        <f t="shared" ca="1" si="41"/>
        <v>18</v>
      </c>
      <c r="P77" s="50">
        <f t="shared" ca="1" si="50"/>
        <v>133.10920361499998</v>
      </c>
      <c r="Q77" s="50">
        <f t="shared" ca="1" si="42"/>
        <v>151.10920361499998</v>
      </c>
      <c r="R77" s="50">
        <f t="shared" ca="1" si="43"/>
        <v>17</v>
      </c>
      <c r="S77" s="50">
        <f t="shared" ca="1" si="32"/>
        <v>4</v>
      </c>
      <c r="T77" s="50">
        <f t="shared" ca="1" si="33"/>
        <v>131.99828325349998</v>
      </c>
      <c r="U77" s="27">
        <f t="shared" ca="1" si="34"/>
        <v>0.75554601807499988</v>
      </c>
      <c r="V77" s="50">
        <f t="shared" ca="1" si="51"/>
        <v>2</v>
      </c>
      <c r="W77" s="50">
        <f t="shared" ca="1" si="35"/>
        <v>15.1109203615</v>
      </c>
      <c r="X77" s="50">
        <f t="shared" ca="1" si="44"/>
        <v>30</v>
      </c>
      <c r="Y77" s="50">
        <f t="shared" ca="1" si="45"/>
        <v>1</v>
      </c>
      <c r="Z77" s="18">
        <f t="shared" ca="1" si="46"/>
        <v>400</v>
      </c>
      <c r="AA77" s="50">
        <f t="shared" ca="1" si="47"/>
        <v>57</v>
      </c>
      <c r="AB77" s="50">
        <f t="shared" ca="1" si="36"/>
        <v>6.0443681445999999</v>
      </c>
      <c r="AC77" s="18">
        <f t="shared" ca="1" si="37"/>
        <v>2417.7472578400002</v>
      </c>
      <c r="AD77" s="18">
        <f t="shared" ca="1" si="38"/>
        <v>120</v>
      </c>
      <c r="AE77" s="18">
        <f t="shared" si="48"/>
        <v>120</v>
      </c>
      <c r="AF77" s="18">
        <f t="shared" ca="1" si="49"/>
        <v>30</v>
      </c>
      <c r="AG77" s="18">
        <f t="shared" ca="1" si="39"/>
        <v>2687.7472578400002</v>
      </c>
    </row>
    <row r="78" spans="13:33" x14ac:dyDescent="0.3">
      <c r="M78" s="49">
        <v>77</v>
      </c>
      <c r="N78" s="50">
        <f t="shared" ca="1" si="40"/>
        <v>80</v>
      </c>
      <c r="O78" s="50">
        <f t="shared" ca="1" si="41"/>
        <v>12</v>
      </c>
      <c r="P78" s="50">
        <f t="shared" ca="1" si="50"/>
        <v>131.99828325349998</v>
      </c>
      <c r="Q78" s="50">
        <f t="shared" ca="1" si="42"/>
        <v>143.99828325349998</v>
      </c>
      <c r="R78" s="50">
        <f t="shared" ca="1" si="43"/>
        <v>45</v>
      </c>
      <c r="S78" s="50">
        <f t="shared" ca="1" si="32"/>
        <v>4</v>
      </c>
      <c r="T78" s="50">
        <f t="shared" ca="1" si="33"/>
        <v>139.99828325349998</v>
      </c>
      <c r="U78" s="27">
        <f t="shared" ca="1" si="34"/>
        <v>0.71999141626749985</v>
      </c>
      <c r="V78" s="50">
        <f t="shared" ca="1" si="51"/>
        <v>2</v>
      </c>
      <c r="W78" s="50" t="str">
        <f t="shared" ca="1" si="35"/>
        <v>-</v>
      </c>
      <c r="X78" s="50">
        <f t="shared" ca="1" si="44"/>
        <v>7</v>
      </c>
      <c r="Y78" s="50">
        <f t="shared" ca="1" si="45"/>
        <v>1</v>
      </c>
      <c r="Z78" s="18">
        <f t="shared" ca="1" si="46"/>
        <v>400</v>
      </c>
      <c r="AA78" s="50">
        <f t="shared" ca="1" si="47"/>
        <v>16</v>
      </c>
      <c r="AB78" s="50" t="str">
        <f t="shared" ca="1" si="36"/>
        <v>-</v>
      </c>
      <c r="AC78" s="18" t="str">
        <f t="shared" ca="1" si="37"/>
        <v>0</v>
      </c>
      <c r="AD78" s="18">
        <f t="shared" ca="1" si="38"/>
        <v>120</v>
      </c>
      <c r="AE78" s="18">
        <f t="shared" si="48"/>
        <v>120</v>
      </c>
      <c r="AF78" s="18">
        <f t="shared" ca="1" si="49"/>
        <v>30</v>
      </c>
      <c r="AG78" s="18">
        <f t="shared" ca="1" si="39"/>
        <v>270</v>
      </c>
    </row>
    <row r="79" spans="13:33" x14ac:dyDescent="0.3">
      <c r="M79" s="49">
        <v>78</v>
      </c>
      <c r="N79" s="50">
        <f t="shared" ca="1" si="40"/>
        <v>41</v>
      </c>
      <c r="O79" s="50">
        <f t="shared" ca="1" si="41"/>
        <v>5</v>
      </c>
      <c r="P79" s="50">
        <f t="shared" ca="1" si="50"/>
        <v>139.99828325349998</v>
      </c>
      <c r="Q79" s="50">
        <f t="shared" ca="1" si="42"/>
        <v>144.99828325349998</v>
      </c>
      <c r="R79" s="50">
        <f t="shared" ca="1" si="43"/>
        <v>97</v>
      </c>
      <c r="S79" s="50">
        <f t="shared" ca="1" si="32"/>
        <v>8</v>
      </c>
      <c r="T79" s="50">
        <f t="shared" ca="1" si="33"/>
        <v>136.99828325349998</v>
      </c>
      <c r="U79" s="27">
        <f t="shared" ca="1" si="34"/>
        <v>0.72499141626749986</v>
      </c>
      <c r="V79" s="50">
        <f t="shared" ca="1" si="51"/>
        <v>2</v>
      </c>
      <c r="W79" s="50" t="str">
        <f t="shared" ca="1" si="35"/>
        <v>-</v>
      </c>
      <c r="X79" s="50">
        <f t="shared" ca="1" si="44"/>
        <v>92</v>
      </c>
      <c r="Y79" s="50">
        <f t="shared" ca="1" si="45"/>
        <v>4</v>
      </c>
      <c r="Z79" s="18">
        <f t="shared" ca="1" si="46"/>
        <v>1600</v>
      </c>
      <c r="AA79" s="50">
        <f t="shared" ca="1" si="47"/>
        <v>62</v>
      </c>
      <c r="AB79" s="50" t="str">
        <f t="shared" ca="1" si="36"/>
        <v>-</v>
      </c>
      <c r="AC79" s="18" t="str">
        <f t="shared" ca="1" si="37"/>
        <v>0</v>
      </c>
      <c r="AD79" s="18">
        <f t="shared" ca="1" si="38"/>
        <v>480</v>
      </c>
      <c r="AE79" s="18">
        <f t="shared" si="48"/>
        <v>120</v>
      </c>
      <c r="AF79" s="18">
        <f t="shared" ca="1" si="49"/>
        <v>30</v>
      </c>
      <c r="AG79" s="18">
        <f t="shared" ca="1" si="39"/>
        <v>630</v>
      </c>
    </row>
    <row r="80" spans="13:33" x14ac:dyDescent="0.3">
      <c r="M80" s="49">
        <v>79</v>
      </c>
      <c r="N80" s="50">
        <f t="shared" ca="1" si="40"/>
        <v>54</v>
      </c>
      <c r="O80" s="50">
        <f t="shared" ca="1" si="41"/>
        <v>8</v>
      </c>
      <c r="P80" s="50">
        <f t="shared" ca="1" si="50"/>
        <v>136.99828325349998</v>
      </c>
      <c r="Q80" s="50">
        <f t="shared" ca="1" si="42"/>
        <v>144.99828325349998</v>
      </c>
      <c r="R80" s="50">
        <f t="shared" ca="1" si="43"/>
        <v>17</v>
      </c>
      <c r="S80" s="50">
        <f t="shared" ca="1" si="32"/>
        <v>4</v>
      </c>
      <c r="T80" s="50">
        <f t="shared" ca="1" si="33"/>
        <v>140.99828325349998</v>
      </c>
      <c r="U80" s="27">
        <f t="shared" ca="1" si="34"/>
        <v>0.72499141626749986</v>
      </c>
      <c r="V80" s="50">
        <f t="shared" ca="1" si="51"/>
        <v>2</v>
      </c>
      <c r="W80" s="50" t="str">
        <f t="shared" ca="1" si="35"/>
        <v>-</v>
      </c>
      <c r="X80" s="50">
        <f t="shared" ca="1" si="44"/>
        <v>83</v>
      </c>
      <c r="Y80" s="50">
        <f t="shared" ca="1" si="45"/>
        <v>2</v>
      </c>
      <c r="Z80" s="18">
        <f t="shared" ca="1" si="46"/>
        <v>800</v>
      </c>
      <c r="AA80" s="50">
        <f t="shared" ca="1" si="47"/>
        <v>18</v>
      </c>
      <c r="AB80" s="50" t="str">
        <f t="shared" ca="1" si="36"/>
        <v>-</v>
      </c>
      <c r="AC80" s="18" t="str">
        <f t="shared" ca="1" si="37"/>
        <v>0</v>
      </c>
      <c r="AD80" s="18">
        <f t="shared" ca="1" si="38"/>
        <v>240</v>
      </c>
      <c r="AE80" s="18">
        <f t="shared" si="48"/>
        <v>120</v>
      </c>
      <c r="AF80" s="18">
        <f t="shared" ca="1" si="49"/>
        <v>30</v>
      </c>
      <c r="AG80" s="18">
        <f t="shared" ca="1" si="39"/>
        <v>390</v>
      </c>
    </row>
    <row r="81" spans="13:33" x14ac:dyDescent="0.3">
      <c r="M81" s="49">
        <v>80</v>
      </c>
      <c r="N81" s="50">
        <f t="shared" ca="1" si="40"/>
        <v>86</v>
      </c>
      <c r="O81" s="50">
        <f t="shared" ca="1" si="41"/>
        <v>12</v>
      </c>
      <c r="P81" s="50">
        <f t="shared" ca="1" si="50"/>
        <v>140.99828325349998</v>
      </c>
      <c r="Q81" s="50">
        <f t="shared" ca="1" si="42"/>
        <v>152.99828325349998</v>
      </c>
      <c r="R81" s="50">
        <f t="shared" ca="1" si="43"/>
        <v>22</v>
      </c>
      <c r="S81" s="50">
        <f t="shared" ca="1" si="32"/>
        <v>4</v>
      </c>
      <c r="T81" s="50">
        <f t="shared" ca="1" si="33"/>
        <v>133.69845492814997</v>
      </c>
      <c r="U81" s="27">
        <f t="shared" ca="1" si="34"/>
        <v>0.76499141626749989</v>
      </c>
      <c r="V81" s="50">
        <f t="shared" ca="1" si="51"/>
        <v>2</v>
      </c>
      <c r="W81" s="50">
        <f t="shared" ca="1" si="35"/>
        <v>15.299828325349999</v>
      </c>
      <c r="X81" s="50">
        <f t="shared" ca="1" si="44"/>
        <v>60</v>
      </c>
      <c r="Y81" s="50">
        <f t="shared" ca="1" si="45"/>
        <v>2</v>
      </c>
      <c r="Z81" s="18">
        <f t="shared" ca="1" si="46"/>
        <v>800</v>
      </c>
      <c r="AA81" s="50">
        <f t="shared" ca="1" si="47"/>
        <v>52</v>
      </c>
      <c r="AB81" s="50">
        <f t="shared" ca="1" si="36"/>
        <v>3.05996566507</v>
      </c>
      <c r="AC81" s="18">
        <f t="shared" ca="1" si="37"/>
        <v>1223.986266028</v>
      </c>
      <c r="AD81" s="18">
        <f t="shared" ca="1" si="38"/>
        <v>240</v>
      </c>
      <c r="AE81" s="18">
        <f t="shared" si="48"/>
        <v>120</v>
      </c>
      <c r="AF81" s="18">
        <f t="shared" ca="1" si="49"/>
        <v>30</v>
      </c>
      <c r="AG81" s="18">
        <f t="shared" ca="1" si="39"/>
        <v>1613.986266028</v>
      </c>
    </row>
    <row r="82" spans="13:33" x14ac:dyDescent="0.3">
      <c r="M82" s="49">
        <v>81</v>
      </c>
      <c r="N82" s="50">
        <f t="shared" ca="1" si="40"/>
        <v>5</v>
      </c>
      <c r="O82" s="50">
        <f t="shared" ca="1" si="41"/>
        <v>5</v>
      </c>
      <c r="P82" s="50">
        <f t="shared" ca="1" si="50"/>
        <v>133.69845492814997</v>
      </c>
      <c r="Q82" s="50">
        <f t="shared" ca="1" si="42"/>
        <v>138.69845492814997</v>
      </c>
      <c r="R82" s="50">
        <f t="shared" ca="1" si="43"/>
        <v>68</v>
      </c>
      <c r="S82" s="50">
        <f t="shared" ca="1" si="32"/>
        <v>6</v>
      </c>
      <c r="T82" s="50">
        <f t="shared" ca="1" si="33"/>
        <v>132.69845492814997</v>
      </c>
      <c r="U82" s="27">
        <f t="shared" ca="1" si="34"/>
        <v>0.69349227464074981</v>
      </c>
      <c r="V82" s="50">
        <f t="shared" ca="1" si="51"/>
        <v>2</v>
      </c>
      <c r="W82" s="50" t="str">
        <f t="shared" ca="1" si="35"/>
        <v>-</v>
      </c>
      <c r="X82" s="50">
        <f t="shared" ca="1" si="44"/>
        <v>37</v>
      </c>
      <c r="Y82" s="50">
        <f t="shared" ca="1" si="45"/>
        <v>1</v>
      </c>
      <c r="Z82" s="18">
        <f t="shared" ca="1" si="46"/>
        <v>400</v>
      </c>
      <c r="AA82" s="50">
        <f t="shared" ca="1" si="47"/>
        <v>11</v>
      </c>
      <c r="AB82" s="50" t="str">
        <f t="shared" ca="1" si="36"/>
        <v>-</v>
      </c>
      <c r="AC82" s="18" t="str">
        <f t="shared" ca="1" si="37"/>
        <v>0</v>
      </c>
      <c r="AD82" s="18">
        <f t="shared" ca="1" si="38"/>
        <v>120</v>
      </c>
      <c r="AE82" s="18">
        <f t="shared" si="48"/>
        <v>120</v>
      </c>
      <c r="AF82" s="18">
        <f t="shared" ca="1" si="49"/>
        <v>30</v>
      </c>
      <c r="AG82" s="18">
        <f t="shared" ca="1" si="39"/>
        <v>270</v>
      </c>
    </row>
    <row r="83" spans="13:33" x14ac:dyDescent="0.3">
      <c r="M83" s="49">
        <v>82</v>
      </c>
      <c r="N83" s="50">
        <f t="shared" ca="1" si="40"/>
        <v>67</v>
      </c>
      <c r="O83" s="50">
        <f t="shared" ca="1" si="41"/>
        <v>8</v>
      </c>
      <c r="P83" s="50">
        <f t="shared" ca="1" si="50"/>
        <v>132.69845492814997</v>
      </c>
      <c r="Q83" s="50">
        <f t="shared" ca="1" si="42"/>
        <v>140.69845492814997</v>
      </c>
      <c r="R83" s="50">
        <f t="shared" ca="1" si="43"/>
        <v>13</v>
      </c>
      <c r="S83" s="50">
        <f t="shared" ca="1" si="32"/>
        <v>2</v>
      </c>
      <c r="T83" s="50">
        <f t="shared" ca="1" si="33"/>
        <v>138.69845492814997</v>
      </c>
      <c r="U83" s="27">
        <f t="shared" ca="1" si="34"/>
        <v>0.70349227464074982</v>
      </c>
      <c r="V83" s="50">
        <f t="shared" ca="1" si="51"/>
        <v>2</v>
      </c>
      <c r="W83" s="50" t="str">
        <f t="shared" ca="1" si="35"/>
        <v>-</v>
      </c>
      <c r="X83" s="50">
        <f t="shared" ca="1" si="44"/>
        <v>81</v>
      </c>
      <c r="Y83" s="50">
        <f t="shared" ca="1" si="45"/>
        <v>1</v>
      </c>
      <c r="Z83" s="18">
        <f t="shared" ca="1" si="46"/>
        <v>400</v>
      </c>
      <c r="AA83" s="50">
        <f t="shared" ca="1" si="47"/>
        <v>97</v>
      </c>
      <c r="AB83" s="50" t="str">
        <f t="shared" ca="1" si="36"/>
        <v>-</v>
      </c>
      <c r="AC83" s="18" t="str">
        <f t="shared" ca="1" si="37"/>
        <v>0</v>
      </c>
      <c r="AD83" s="18">
        <f t="shared" ca="1" si="38"/>
        <v>120</v>
      </c>
      <c r="AE83" s="18">
        <f t="shared" si="48"/>
        <v>120</v>
      </c>
      <c r="AF83" s="18">
        <f t="shared" ca="1" si="49"/>
        <v>30</v>
      </c>
      <c r="AG83" s="18">
        <f t="shared" ca="1" si="39"/>
        <v>270</v>
      </c>
    </row>
    <row r="84" spans="13:33" x14ac:dyDescent="0.3">
      <c r="M84" s="49">
        <v>83</v>
      </c>
      <c r="N84" s="50">
        <f t="shared" ca="1" si="40"/>
        <v>65</v>
      </c>
      <c r="O84" s="50">
        <f t="shared" ca="1" si="41"/>
        <v>8</v>
      </c>
      <c r="P84" s="50">
        <f t="shared" ca="1" si="50"/>
        <v>138.69845492814997</v>
      </c>
      <c r="Q84" s="50">
        <f t="shared" ca="1" si="42"/>
        <v>146.69845492814997</v>
      </c>
      <c r="R84" s="50">
        <f t="shared" ca="1" si="43"/>
        <v>44</v>
      </c>
      <c r="S84" s="50">
        <f t="shared" ca="1" si="32"/>
        <v>4</v>
      </c>
      <c r="T84" s="50">
        <f t="shared" ca="1" si="33"/>
        <v>142.69845492814997</v>
      </c>
      <c r="U84" s="27">
        <f t="shared" ca="1" si="34"/>
        <v>0.73349227464074984</v>
      </c>
      <c r="V84" s="50">
        <f t="shared" ca="1" si="51"/>
        <v>2</v>
      </c>
      <c r="W84" s="50" t="str">
        <f t="shared" ca="1" si="35"/>
        <v>-</v>
      </c>
      <c r="X84" s="50">
        <f t="shared" ca="1" si="44"/>
        <v>94</v>
      </c>
      <c r="Y84" s="50">
        <f t="shared" ca="1" si="45"/>
        <v>2</v>
      </c>
      <c r="Z84" s="18">
        <f t="shared" ca="1" si="46"/>
        <v>800</v>
      </c>
      <c r="AA84" s="50">
        <f t="shared" ca="1" si="47"/>
        <v>41</v>
      </c>
      <c r="AB84" s="50" t="str">
        <f t="shared" ca="1" si="36"/>
        <v>-</v>
      </c>
      <c r="AC84" s="18" t="str">
        <f t="shared" ca="1" si="37"/>
        <v>0</v>
      </c>
      <c r="AD84" s="18">
        <f t="shared" ca="1" si="38"/>
        <v>240</v>
      </c>
      <c r="AE84" s="18">
        <f t="shared" si="48"/>
        <v>120</v>
      </c>
      <c r="AF84" s="18">
        <f t="shared" ca="1" si="49"/>
        <v>30</v>
      </c>
      <c r="AG84" s="18">
        <f t="shared" ca="1" si="39"/>
        <v>390</v>
      </c>
    </row>
    <row r="85" spans="13:33" x14ac:dyDescent="0.3">
      <c r="M85" s="49">
        <v>84</v>
      </c>
      <c r="N85" s="50">
        <f t="shared" ca="1" si="40"/>
        <v>57</v>
      </c>
      <c r="O85" s="50">
        <f t="shared" ca="1" si="41"/>
        <v>8</v>
      </c>
      <c r="P85" s="50">
        <f t="shared" ca="1" si="50"/>
        <v>142.69845492814997</v>
      </c>
      <c r="Q85" s="50">
        <f t="shared" ca="1" si="42"/>
        <v>150.69845492814997</v>
      </c>
      <c r="R85" s="50">
        <f t="shared" ca="1" si="43"/>
        <v>6</v>
      </c>
      <c r="S85" s="50">
        <f t="shared" ca="1" si="32"/>
        <v>2</v>
      </c>
      <c r="T85" s="50">
        <f t="shared" ca="1" si="33"/>
        <v>133.62860943533497</v>
      </c>
      <c r="U85" s="27">
        <f t="shared" ca="1" si="34"/>
        <v>0.75349227464074986</v>
      </c>
      <c r="V85" s="50">
        <f t="shared" ca="1" si="51"/>
        <v>2</v>
      </c>
      <c r="W85" s="50">
        <f t="shared" ca="1" si="35"/>
        <v>15.069845492814999</v>
      </c>
      <c r="X85" s="50">
        <f t="shared" ca="1" si="44"/>
        <v>71</v>
      </c>
      <c r="Y85" s="50">
        <f t="shared" ca="1" si="45"/>
        <v>1</v>
      </c>
      <c r="Z85" s="18">
        <f t="shared" ca="1" si="46"/>
        <v>400</v>
      </c>
      <c r="AA85" s="50">
        <f t="shared" ca="1" si="47"/>
        <v>35</v>
      </c>
      <c r="AB85" s="50">
        <f t="shared" ca="1" si="36"/>
        <v>3.0139690985629999</v>
      </c>
      <c r="AC85" s="18">
        <f t="shared" ca="1" si="37"/>
        <v>1205.5876394252</v>
      </c>
      <c r="AD85" s="18">
        <f t="shared" ca="1" si="38"/>
        <v>120</v>
      </c>
      <c r="AE85" s="18">
        <f t="shared" si="48"/>
        <v>120</v>
      </c>
      <c r="AF85" s="18">
        <f t="shared" ca="1" si="49"/>
        <v>30</v>
      </c>
      <c r="AG85" s="18">
        <f t="shared" ca="1" si="39"/>
        <v>1475.5876394252</v>
      </c>
    </row>
    <row r="86" spans="13:33" x14ac:dyDescent="0.3">
      <c r="M86" s="49">
        <v>85</v>
      </c>
      <c r="N86" s="50">
        <f t="shared" ca="1" si="40"/>
        <v>87</v>
      </c>
      <c r="O86" s="50">
        <f t="shared" ca="1" si="41"/>
        <v>12</v>
      </c>
      <c r="P86" s="50">
        <f t="shared" ca="1" si="50"/>
        <v>133.62860943533497</v>
      </c>
      <c r="Q86" s="50">
        <f t="shared" ca="1" si="42"/>
        <v>145.62860943533497</v>
      </c>
      <c r="R86" s="50">
        <f t="shared" ca="1" si="43"/>
        <v>77</v>
      </c>
      <c r="S86" s="50">
        <f t="shared" ca="1" si="32"/>
        <v>8</v>
      </c>
      <c r="T86" s="50">
        <f t="shared" ca="1" si="33"/>
        <v>137.62860943533497</v>
      </c>
      <c r="U86" s="27">
        <f t="shared" ca="1" si="34"/>
        <v>0.72814304717667477</v>
      </c>
      <c r="V86" s="50">
        <f t="shared" ca="1" si="51"/>
        <v>2</v>
      </c>
      <c r="W86" s="50" t="str">
        <f t="shared" ca="1" si="35"/>
        <v>-</v>
      </c>
      <c r="X86" s="50">
        <f t="shared" ca="1" si="44"/>
        <v>22</v>
      </c>
      <c r="Y86" s="50">
        <f t="shared" ca="1" si="45"/>
        <v>2</v>
      </c>
      <c r="Z86" s="18">
        <f t="shared" ca="1" si="46"/>
        <v>800</v>
      </c>
      <c r="AA86" s="50">
        <f t="shared" ca="1" si="47"/>
        <v>29</v>
      </c>
      <c r="AB86" s="50" t="str">
        <f t="shared" ca="1" si="36"/>
        <v>-</v>
      </c>
      <c r="AC86" s="18" t="str">
        <f t="shared" ca="1" si="37"/>
        <v>0</v>
      </c>
      <c r="AD86" s="18">
        <f t="shared" ca="1" si="38"/>
        <v>240</v>
      </c>
      <c r="AE86" s="18">
        <f t="shared" si="48"/>
        <v>120</v>
      </c>
      <c r="AF86" s="18">
        <f t="shared" ca="1" si="49"/>
        <v>30</v>
      </c>
      <c r="AG86" s="18">
        <f t="shared" ca="1" si="39"/>
        <v>390</v>
      </c>
    </row>
    <row r="87" spans="13:33" x14ac:dyDescent="0.3">
      <c r="M87" s="49">
        <v>86</v>
      </c>
      <c r="N87" s="50">
        <f t="shared" ca="1" si="40"/>
        <v>48</v>
      </c>
      <c r="O87" s="50">
        <f t="shared" ca="1" si="41"/>
        <v>8</v>
      </c>
      <c r="P87" s="50">
        <f t="shared" ca="1" si="50"/>
        <v>137.62860943533497</v>
      </c>
      <c r="Q87" s="50">
        <f t="shared" ca="1" si="42"/>
        <v>145.62860943533497</v>
      </c>
      <c r="R87" s="50">
        <f t="shared" ca="1" si="43"/>
        <v>26</v>
      </c>
      <c r="S87" s="50">
        <f t="shared" ca="1" si="32"/>
        <v>4</v>
      </c>
      <c r="T87" s="50">
        <f t="shared" ca="1" si="33"/>
        <v>141.62860943533497</v>
      </c>
      <c r="U87" s="27">
        <f t="shared" ca="1" si="34"/>
        <v>0.72814304717667477</v>
      </c>
      <c r="V87" s="50">
        <f t="shared" ca="1" si="51"/>
        <v>2</v>
      </c>
      <c r="W87" s="50" t="str">
        <f t="shared" ca="1" si="35"/>
        <v>-</v>
      </c>
      <c r="X87" s="50">
        <f t="shared" ca="1" si="44"/>
        <v>44</v>
      </c>
      <c r="Y87" s="50">
        <f t="shared" ca="1" si="45"/>
        <v>1</v>
      </c>
      <c r="Z87" s="18">
        <f t="shared" ca="1" si="46"/>
        <v>400</v>
      </c>
      <c r="AA87" s="50">
        <f t="shared" ca="1" si="47"/>
        <v>24</v>
      </c>
      <c r="AB87" s="50" t="str">
        <f t="shared" ca="1" si="36"/>
        <v>-</v>
      </c>
      <c r="AC87" s="18" t="str">
        <f t="shared" ca="1" si="37"/>
        <v>0</v>
      </c>
      <c r="AD87" s="18">
        <f t="shared" ca="1" si="38"/>
        <v>120</v>
      </c>
      <c r="AE87" s="18">
        <f t="shared" si="48"/>
        <v>120</v>
      </c>
      <c r="AF87" s="18">
        <f t="shared" ca="1" si="49"/>
        <v>30</v>
      </c>
      <c r="AG87" s="18">
        <f t="shared" ca="1" si="39"/>
        <v>270</v>
      </c>
    </row>
    <row r="88" spans="13:33" x14ac:dyDescent="0.3">
      <c r="M88" s="49">
        <v>87</v>
      </c>
      <c r="N88" s="50">
        <f t="shared" ca="1" si="40"/>
        <v>72</v>
      </c>
      <c r="O88" s="50">
        <f t="shared" ca="1" si="41"/>
        <v>8</v>
      </c>
      <c r="P88" s="50">
        <f t="shared" ca="1" si="50"/>
        <v>141.62860943533497</v>
      </c>
      <c r="Q88" s="50">
        <f t="shared" ca="1" si="42"/>
        <v>149.62860943533497</v>
      </c>
      <c r="R88" s="50">
        <f t="shared" ca="1" si="43"/>
        <v>94</v>
      </c>
      <c r="S88" s="50">
        <f t="shared" ca="1" si="32"/>
        <v>8</v>
      </c>
      <c r="T88" s="50">
        <f t="shared" ca="1" si="33"/>
        <v>141.62860943533497</v>
      </c>
      <c r="U88" s="27">
        <f t="shared" ca="1" si="34"/>
        <v>0.74814304717667479</v>
      </c>
      <c r="V88" s="50">
        <f t="shared" ca="1" si="51"/>
        <v>2</v>
      </c>
      <c r="W88" s="50" t="str">
        <f t="shared" ca="1" si="35"/>
        <v>-</v>
      </c>
      <c r="X88" s="50">
        <f t="shared" ca="1" si="44"/>
        <v>79</v>
      </c>
      <c r="Y88" s="50">
        <f t="shared" ca="1" si="45"/>
        <v>3</v>
      </c>
      <c r="Z88" s="18">
        <f t="shared" ca="1" si="46"/>
        <v>1200</v>
      </c>
      <c r="AA88" s="50">
        <f t="shared" ca="1" si="47"/>
        <v>43</v>
      </c>
      <c r="AB88" s="50" t="str">
        <f t="shared" ca="1" si="36"/>
        <v>-</v>
      </c>
      <c r="AC88" s="18" t="str">
        <f t="shared" ca="1" si="37"/>
        <v>0</v>
      </c>
      <c r="AD88" s="18">
        <f t="shared" ca="1" si="38"/>
        <v>360</v>
      </c>
      <c r="AE88" s="18">
        <f t="shared" si="48"/>
        <v>120</v>
      </c>
      <c r="AF88" s="18">
        <f t="shared" ca="1" si="49"/>
        <v>30</v>
      </c>
      <c r="AG88" s="18">
        <f t="shared" ca="1" si="39"/>
        <v>510</v>
      </c>
    </row>
    <row r="89" spans="13:33" x14ac:dyDescent="0.3">
      <c r="M89" s="49">
        <v>88</v>
      </c>
      <c r="N89" s="50">
        <f t="shared" ca="1" si="40"/>
        <v>12</v>
      </c>
      <c r="O89" s="50">
        <f t="shared" ca="1" si="41"/>
        <v>5</v>
      </c>
      <c r="P89" s="50">
        <f t="shared" ca="1" si="50"/>
        <v>141.62860943533497</v>
      </c>
      <c r="Q89" s="50">
        <f t="shared" ca="1" si="42"/>
        <v>146.62860943533497</v>
      </c>
      <c r="R89" s="50">
        <f t="shared" ca="1" si="43"/>
        <v>43</v>
      </c>
      <c r="S89" s="50">
        <f t="shared" ca="1" si="32"/>
        <v>4</v>
      </c>
      <c r="T89" s="50">
        <f t="shared" ca="1" si="33"/>
        <v>142.62860943533497</v>
      </c>
      <c r="U89" s="27">
        <f t="shared" ca="1" si="34"/>
        <v>0.73314304717667478</v>
      </c>
      <c r="V89" s="50">
        <f t="shared" ca="1" si="51"/>
        <v>2</v>
      </c>
      <c r="W89" s="50" t="str">
        <f t="shared" ca="1" si="35"/>
        <v>-</v>
      </c>
      <c r="X89" s="50">
        <f t="shared" ca="1" si="44"/>
        <v>94</v>
      </c>
      <c r="Y89" s="50">
        <f t="shared" ca="1" si="45"/>
        <v>2</v>
      </c>
      <c r="Z89" s="18">
        <f t="shared" ca="1" si="46"/>
        <v>800</v>
      </c>
      <c r="AA89" s="50">
        <f t="shared" ca="1" si="47"/>
        <v>91</v>
      </c>
      <c r="AB89" s="50" t="str">
        <f t="shared" ca="1" si="36"/>
        <v>-</v>
      </c>
      <c r="AC89" s="18" t="str">
        <f t="shared" ca="1" si="37"/>
        <v>0</v>
      </c>
      <c r="AD89" s="18">
        <f t="shared" ca="1" si="38"/>
        <v>240</v>
      </c>
      <c r="AE89" s="18">
        <f t="shared" si="48"/>
        <v>120</v>
      </c>
      <c r="AF89" s="18">
        <f t="shared" ca="1" si="49"/>
        <v>30</v>
      </c>
      <c r="AG89" s="18">
        <f t="shared" ca="1" si="39"/>
        <v>390</v>
      </c>
    </row>
    <row r="90" spans="13:33" x14ac:dyDescent="0.3">
      <c r="M90" s="49">
        <v>89</v>
      </c>
      <c r="N90" s="50">
        <f t="shared" ca="1" si="40"/>
        <v>54</v>
      </c>
      <c r="O90" s="50">
        <f t="shared" ca="1" si="41"/>
        <v>8</v>
      </c>
      <c r="P90" s="50">
        <f t="shared" ca="1" si="50"/>
        <v>142.62860943533497</v>
      </c>
      <c r="Q90" s="50">
        <f t="shared" ca="1" si="42"/>
        <v>150.62860943533497</v>
      </c>
      <c r="R90" s="50">
        <f t="shared" ca="1" si="43"/>
        <v>5</v>
      </c>
      <c r="S90" s="50">
        <f t="shared" ca="1" si="32"/>
        <v>2</v>
      </c>
      <c r="T90" s="50">
        <f t="shared" ca="1" si="33"/>
        <v>133.56574849180146</v>
      </c>
      <c r="U90" s="27">
        <f t="shared" ca="1" si="34"/>
        <v>0.7531430471766748</v>
      </c>
      <c r="V90" s="50">
        <f t="shared" ca="1" si="51"/>
        <v>2</v>
      </c>
      <c r="W90" s="50">
        <f t="shared" ca="1" si="35"/>
        <v>15.062860943533497</v>
      </c>
      <c r="X90" s="50">
        <f t="shared" ca="1" si="44"/>
        <v>8</v>
      </c>
      <c r="Y90" s="50">
        <f t="shared" ca="1" si="45"/>
        <v>0</v>
      </c>
      <c r="Z90" s="18">
        <f t="shared" ca="1" si="46"/>
        <v>0</v>
      </c>
      <c r="AA90" s="50">
        <f t="shared" ca="1" si="47"/>
        <v>15</v>
      </c>
      <c r="AB90" s="50">
        <f t="shared" ca="1" si="36"/>
        <v>3.0125721887066996</v>
      </c>
      <c r="AC90" s="18">
        <f t="shared" ca="1" si="37"/>
        <v>1205.02887548268</v>
      </c>
      <c r="AD90" s="18">
        <f t="shared" ca="1" si="38"/>
        <v>0</v>
      </c>
      <c r="AE90" s="18">
        <f t="shared" si="48"/>
        <v>120</v>
      </c>
      <c r="AF90" s="18">
        <f t="shared" ca="1" si="49"/>
        <v>30</v>
      </c>
      <c r="AG90" s="18">
        <f t="shared" ca="1" si="39"/>
        <v>1355.02887548268</v>
      </c>
    </row>
    <row r="91" spans="13:33" x14ac:dyDescent="0.3">
      <c r="M91" s="49">
        <v>90</v>
      </c>
      <c r="N91" s="50">
        <f t="shared" ca="1" si="40"/>
        <v>70</v>
      </c>
      <c r="O91" s="50">
        <f t="shared" ca="1" si="41"/>
        <v>8</v>
      </c>
      <c r="P91" s="50">
        <f t="shared" ca="1" si="50"/>
        <v>133.56574849180146</v>
      </c>
      <c r="Q91" s="50">
        <f t="shared" ca="1" si="42"/>
        <v>141.56574849180146</v>
      </c>
      <c r="R91" s="50">
        <f t="shared" ca="1" si="43"/>
        <v>24</v>
      </c>
      <c r="S91" s="50">
        <f t="shared" ca="1" si="32"/>
        <v>4</v>
      </c>
      <c r="T91" s="50">
        <f t="shared" ca="1" si="33"/>
        <v>137.56574849180146</v>
      </c>
      <c r="U91" s="27">
        <f t="shared" ca="1" si="34"/>
        <v>0.70782874245900729</v>
      </c>
      <c r="V91" s="50">
        <f t="shared" ca="1" si="51"/>
        <v>2</v>
      </c>
      <c r="W91" s="50" t="str">
        <f t="shared" ca="1" si="35"/>
        <v>-</v>
      </c>
      <c r="X91" s="50">
        <f t="shared" ca="1" si="44"/>
        <v>59</v>
      </c>
      <c r="Y91" s="50">
        <f t="shared" ca="1" si="45"/>
        <v>2</v>
      </c>
      <c r="Z91" s="18">
        <f t="shared" ca="1" si="46"/>
        <v>800</v>
      </c>
      <c r="AA91" s="50">
        <f t="shared" ca="1" si="47"/>
        <v>97</v>
      </c>
      <c r="AB91" s="50" t="str">
        <f t="shared" ca="1" si="36"/>
        <v>-</v>
      </c>
      <c r="AC91" s="18" t="str">
        <f t="shared" ca="1" si="37"/>
        <v>0</v>
      </c>
      <c r="AD91" s="18">
        <f t="shared" ca="1" si="38"/>
        <v>240</v>
      </c>
      <c r="AE91" s="18">
        <f t="shared" si="48"/>
        <v>120</v>
      </c>
      <c r="AF91" s="18">
        <f t="shared" ca="1" si="49"/>
        <v>30</v>
      </c>
      <c r="AG91" s="18">
        <f t="shared" ca="1" si="39"/>
        <v>390</v>
      </c>
    </row>
    <row r="92" spans="13:33" x14ac:dyDescent="0.3">
      <c r="M92" s="49">
        <v>91</v>
      </c>
      <c r="N92" s="50">
        <f t="shared" ca="1" si="40"/>
        <v>77</v>
      </c>
      <c r="O92" s="50">
        <f t="shared" ca="1" si="41"/>
        <v>12</v>
      </c>
      <c r="P92" s="50">
        <f t="shared" ca="1" si="50"/>
        <v>137.56574849180146</v>
      </c>
      <c r="Q92" s="50">
        <f t="shared" ca="1" si="42"/>
        <v>149.56574849180146</v>
      </c>
      <c r="R92" s="50">
        <f t="shared" ca="1" si="43"/>
        <v>8</v>
      </c>
      <c r="S92" s="50">
        <f t="shared" ca="1" si="32"/>
        <v>2</v>
      </c>
      <c r="T92" s="50">
        <f t="shared" ca="1" si="33"/>
        <v>147.56574849180146</v>
      </c>
      <c r="U92" s="27">
        <f t="shared" ca="1" si="34"/>
        <v>0.74782874245900732</v>
      </c>
      <c r="V92" s="50">
        <f t="shared" ca="1" si="51"/>
        <v>2</v>
      </c>
      <c r="W92" s="50" t="str">
        <f t="shared" ca="1" si="35"/>
        <v>-</v>
      </c>
      <c r="X92" s="50">
        <f t="shared" ca="1" si="44"/>
        <v>13</v>
      </c>
      <c r="Y92" s="50">
        <f t="shared" ca="1" si="45"/>
        <v>0</v>
      </c>
      <c r="Z92" s="18">
        <f t="shared" ca="1" si="46"/>
        <v>0</v>
      </c>
      <c r="AA92" s="50">
        <f t="shared" ca="1" si="47"/>
        <v>96</v>
      </c>
      <c r="AB92" s="50" t="str">
        <f t="shared" ca="1" si="36"/>
        <v>-</v>
      </c>
      <c r="AC92" s="18" t="str">
        <f t="shared" ca="1" si="37"/>
        <v>0</v>
      </c>
      <c r="AD92" s="18">
        <f t="shared" ca="1" si="38"/>
        <v>0</v>
      </c>
      <c r="AE92" s="18">
        <f t="shared" si="48"/>
        <v>120</v>
      </c>
      <c r="AF92" s="18">
        <f t="shared" ca="1" si="49"/>
        <v>30</v>
      </c>
      <c r="AG92" s="18">
        <f t="shared" ca="1" si="39"/>
        <v>150</v>
      </c>
    </row>
    <row r="93" spans="13:33" x14ac:dyDescent="0.3">
      <c r="M93" s="49">
        <v>92</v>
      </c>
      <c r="N93" s="50">
        <f t="shared" ca="1" si="40"/>
        <v>93</v>
      </c>
      <c r="O93" s="50">
        <f t="shared" ca="1" si="41"/>
        <v>15</v>
      </c>
      <c r="P93" s="50">
        <f t="shared" ca="1" si="50"/>
        <v>147.56574849180146</v>
      </c>
      <c r="Q93" s="50">
        <f t="shared" ca="1" si="42"/>
        <v>162.56574849180146</v>
      </c>
      <c r="R93" s="50">
        <f t="shared" ca="1" si="43"/>
        <v>70</v>
      </c>
      <c r="S93" s="50">
        <f t="shared" ca="1" si="32"/>
        <v>6</v>
      </c>
      <c r="T93" s="50">
        <f t="shared" ca="1" si="33"/>
        <v>140.30917364262132</v>
      </c>
      <c r="U93" s="27">
        <f t="shared" ca="1" si="34"/>
        <v>0.81282874245900727</v>
      </c>
      <c r="V93" s="50">
        <f t="shared" ca="1" si="51"/>
        <v>2</v>
      </c>
      <c r="W93" s="50">
        <f t="shared" ca="1" si="35"/>
        <v>16.256574849180147</v>
      </c>
      <c r="X93" s="50">
        <f t="shared" ca="1" si="44"/>
        <v>3</v>
      </c>
      <c r="Y93" s="50">
        <f t="shared" ca="1" si="45"/>
        <v>1</v>
      </c>
      <c r="Z93" s="18">
        <f t="shared" ca="1" si="46"/>
        <v>400</v>
      </c>
      <c r="AA93" s="50">
        <f t="shared" ca="1" si="47"/>
        <v>39</v>
      </c>
      <c r="AB93" s="50">
        <f t="shared" ca="1" si="36"/>
        <v>3.2513149698360295</v>
      </c>
      <c r="AC93" s="18">
        <f t="shared" ca="1" si="37"/>
        <v>1300.5259879344119</v>
      </c>
      <c r="AD93" s="18">
        <f t="shared" ca="1" si="38"/>
        <v>120</v>
      </c>
      <c r="AE93" s="18">
        <f t="shared" si="48"/>
        <v>120</v>
      </c>
      <c r="AF93" s="18">
        <f t="shared" ca="1" si="49"/>
        <v>30</v>
      </c>
      <c r="AG93" s="18">
        <f t="shared" ca="1" si="39"/>
        <v>1570.5259879344119</v>
      </c>
    </row>
    <row r="94" spans="13:33" x14ac:dyDescent="0.3">
      <c r="M94" s="49">
        <v>93</v>
      </c>
      <c r="N94" s="50">
        <f t="shared" ca="1" si="40"/>
        <v>24</v>
      </c>
      <c r="O94" s="50">
        <f t="shared" ca="1" si="41"/>
        <v>5</v>
      </c>
      <c r="P94" s="50">
        <f t="shared" ca="1" si="50"/>
        <v>140.30917364262132</v>
      </c>
      <c r="Q94" s="50">
        <f t="shared" ca="1" si="42"/>
        <v>145.30917364262132</v>
      </c>
      <c r="R94" s="50">
        <f t="shared" ca="1" si="43"/>
        <v>4</v>
      </c>
      <c r="S94" s="50">
        <f t="shared" ca="1" si="32"/>
        <v>2</v>
      </c>
      <c r="T94" s="50">
        <f t="shared" ca="1" si="33"/>
        <v>143.30917364262132</v>
      </c>
      <c r="U94" s="27">
        <f t="shared" ca="1" si="34"/>
        <v>0.48436391214207108</v>
      </c>
      <c r="V94" s="50">
        <f t="shared" ca="1" si="51"/>
        <v>3</v>
      </c>
      <c r="W94" s="50" t="str">
        <f t="shared" ca="1" si="35"/>
        <v>-</v>
      </c>
      <c r="X94" s="50">
        <f t="shared" ca="1" si="44"/>
        <v>23</v>
      </c>
      <c r="Y94" s="50">
        <f t="shared" ca="1" si="45"/>
        <v>0</v>
      </c>
      <c r="Z94" s="18">
        <f t="shared" ca="1" si="46"/>
        <v>0</v>
      </c>
      <c r="AA94" s="50">
        <f t="shared" ca="1" si="47"/>
        <v>73</v>
      </c>
      <c r="AB94" s="50" t="str">
        <f t="shared" ca="1" si="36"/>
        <v>-</v>
      </c>
      <c r="AC94" s="18" t="str">
        <f t="shared" ca="1" si="37"/>
        <v>0</v>
      </c>
      <c r="AD94" s="18">
        <f t="shared" ca="1" si="38"/>
        <v>0</v>
      </c>
      <c r="AE94" s="18">
        <f t="shared" si="48"/>
        <v>120</v>
      </c>
      <c r="AF94" s="18">
        <f t="shared" ca="1" si="49"/>
        <v>245</v>
      </c>
      <c r="AG94" s="18">
        <f t="shared" ca="1" si="39"/>
        <v>365</v>
      </c>
    </row>
    <row r="95" spans="13:33" x14ac:dyDescent="0.3">
      <c r="M95" s="49">
        <v>94</v>
      </c>
      <c r="N95" s="50">
        <f t="shared" ca="1" si="40"/>
        <v>72</v>
      </c>
      <c r="O95" s="50">
        <f t="shared" ca="1" si="41"/>
        <v>8</v>
      </c>
      <c r="P95" s="50">
        <f t="shared" ca="1" si="50"/>
        <v>143.30917364262132</v>
      </c>
      <c r="Q95" s="50">
        <f t="shared" ca="1" si="42"/>
        <v>151.30917364262132</v>
      </c>
      <c r="R95" s="50">
        <f t="shared" ca="1" si="43"/>
        <v>5</v>
      </c>
      <c r="S95" s="50">
        <f t="shared" ca="1" si="32"/>
        <v>2</v>
      </c>
      <c r="T95" s="50">
        <f t="shared" ca="1" si="33"/>
        <v>149.30917364262132</v>
      </c>
      <c r="U95" s="27">
        <f t="shared" ca="1" si="34"/>
        <v>0.5043639121420711</v>
      </c>
      <c r="V95" s="50">
        <f t="shared" ca="1" si="51"/>
        <v>3</v>
      </c>
      <c r="W95" s="50" t="str">
        <f t="shared" ca="1" si="35"/>
        <v>-</v>
      </c>
      <c r="X95" s="50">
        <f t="shared" ca="1" si="44"/>
        <v>6</v>
      </c>
      <c r="Y95" s="50">
        <f t="shared" ca="1" si="45"/>
        <v>0</v>
      </c>
      <c r="Z95" s="18">
        <f t="shared" ca="1" si="46"/>
        <v>0</v>
      </c>
      <c r="AA95" s="50">
        <f t="shared" ca="1" si="47"/>
        <v>28</v>
      </c>
      <c r="AB95" s="50" t="str">
        <f t="shared" ca="1" si="36"/>
        <v>-</v>
      </c>
      <c r="AC95" s="18" t="str">
        <f t="shared" ca="1" si="37"/>
        <v>0</v>
      </c>
      <c r="AD95" s="18">
        <f t="shared" ca="1" si="38"/>
        <v>0</v>
      </c>
      <c r="AE95" s="18">
        <f t="shared" si="48"/>
        <v>120</v>
      </c>
      <c r="AF95" s="18">
        <f t="shared" ca="1" si="49"/>
        <v>45</v>
      </c>
      <c r="AG95" s="18">
        <f t="shared" ca="1" si="39"/>
        <v>165</v>
      </c>
    </row>
    <row r="96" spans="13:33" x14ac:dyDescent="0.3">
      <c r="M96" s="49">
        <v>95</v>
      </c>
      <c r="N96" s="50">
        <f t="shared" ca="1" si="40"/>
        <v>10</v>
      </c>
      <c r="O96" s="50">
        <f t="shared" ca="1" si="41"/>
        <v>5</v>
      </c>
      <c r="P96" s="50">
        <f t="shared" ca="1" si="50"/>
        <v>149.30917364262132</v>
      </c>
      <c r="Q96" s="50">
        <f t="shared" ca="1" si="42"/>
        <v>154.30917364262132</v>
      </c>
      <c r="R96" s="50">
        <f t="shared" ca="1" si="43"/>
        <v>8</v>
      </c>
      <c r="S96" s="50">
        <f t="shared" ca="1" si="32"/>
        <v>2</v>
      </c>
      <c r="T96" s="50">
        <f t="shared" ca="1" si="33"/>
        <v>152.30917364262132</v>
      </c>
      <c r="U96" s="27">
        <f t="shared" ca="1" si="34"/>
        <v>0.51436391214207111</v>
      </c>
      <c r="V96" s="50">
        <f t="shared" ca="1" si="51"/>
        <v>3</v>
      </c>
      <c r="W96" s="50" t="str">
        <f t="shared" ca="1" si="35"/>
        <v>-</v>
      </c>
      <c r="X96" s="50">
        <f t="shared" ca="1" si="44"/>
        <v>19</v>
      </c>
      <c r="Y96" s="50">
        <f t="shared" ca="1" si="45"/>
        <v>0</v>
      </c>
      <c r="Z96" s="18">
        <f t="shared" ca="1" si="46"/>
        <v>0</v>
      </c>
      <c r="AA96" s="50">
        <f t="shared" ca="1" si="47"/>
        <v>38</v>
      </c>
      <c r="AB96" s="50" t="str">
        <f t="shared" ca="1" si="36"/>
        <v>-</v>
      </c>
      <c r="AC96" s="18" t="str">
        <f t="shared" ca="1" si="37"/>
        <v>0</v>
      </c>
      <c r="AD96" s="18">
        <f t="shared" ca="1" si="38"/>
        <v>0</v>
      </c>
      <c r="AE96" s="18">
        <f t="shared" si="48"/>
        <v>120</v>
      </c>
      <c r="AF96" s="18">
        <f t="shared" ca="1" si="49"/>
        <v>45</v>
      </c>
      <c r="AG96" s="18">
        <f t="shared" ca="1" si="39"/>
        <v>165</v>
      </c>
    </row>
    <row r="97" spans="13:33" x14ac:dyDescent="0.3">
      <c r="M97" s="49">
        <v>96</v>
      </c>
      <c r="N97" s="50">
        <f t="shared" ca="1" si="40"/>
        <v>75</v>
      </c>
      <c r="O97" s="50">
        <f t="shared" ca="1" si="41"/>
        <v>8</v>
      </c>
      <c r="P97" s="50">
        <f t="shared" ca="1" si="50"/>
        <v>152.30917364262132</v>
      </c>
      <c r="Q97" s="50">
        <f t="shared" ca="1" si="42"/>
        <v>160.30917364262132</v>
      </c>
      <c r="R97" s="50">
        <f t="shared" ca="1" si="43"/>
        <v>73</v>
      </c>
      <c r="S97" s="50">
        <f t="shared" ca="1" si="32"/>
        <v>6</v>
      </c>
      <c r="T97" s="50">
        <f t="shared" ca="1" si="33"/>
        <v>154.30917364262132</v>
      </c>
      <c r="U97" s="27">
        <f t="shared" ca="1" si="34"/>
        <v>0.53436391214207102</v>
      </c>
      <c r="V97" s="50">
        <f t="shared" ca="1" si="51"/>
        <v>3</v>
      </c>
      <c r="W97" s="50" t="str">
        <f t="shared" ca="1" si="35"/>
        <v>-</v>
      </c>
      <c r="X97" s="50">
        <f t="shared" ca="1" si="44"/>
        <v>46</v>
      </c>
      <c r="Y97" s="50">
        <f t="shared" ca="1" si="45"/>
        <v>1</v>
      </c>
      <c r="Z97" s="18">
        <f t="shared" ca="1" si="46"/>
        <v>400</v>
      </c>
      <c r="AA97" s="50">
        <f t="shared" ca="1" si="47"/>
        <v>31</v>
      </c>
      <c r="AB97" s="50" t="str">
        <f t="shared" ca="1" si="36"/>
        <v>-</v>
      </c>
      <c r="AC97" s="18" t="str">
        <f t="shared" ca="1" si="37"/>
        <v>0</v>
      </c>
      <c r="AD97" s="18">
        <f t="shared" ca="1" si="38"/>
        <v>120</v>
      </c>
      <c r="AE97" s="18">
        <f t="shared" si="48"/>
        <v>120</v>
      </c>
      <c r="AF97" s="18">
        <f t="shared" ca="1" si="49"/>
        <v>45</v>
      </c>
      <c r="AG97" s="18">
        <f t="shared" ca="1" si="39"/>
        <v>285</v>
      </c>
    </row>
    <row r="98" spans="13:33" x14ac:dyDescent="0.3">
      <c r="M98" s="49">
        <v>97</v>
      </c>
      <c r="N98" s="50">
        <f t="shared" ca="1" si="40"/>
        <v>92</v>
      </c>
      <c r="O98" s="50">
        <f t="shared" ca="1" si="41"/>
        <v>15</v>
      </c>
      <c r="P98" s="50">
        <f t="shared" ca="1" si="50"/>
        <v>154.30917364262132</v>
      </c>
      <c r="Q98" s="50">
        <f t="shared" ca="1" si="42"/>
        <v>169.30917364262132</v>
      </c>
      <c r="R98" s="50">
        <f t="shared" ca="1" si="43"/>
        <v>77</v>
      </c>
      <c r="S98" s="50">
        <f t="shared" ref="S98:S129" ca="1" si="52">MIN(Q98,LOOKUP(R98,$D$15:$E$18,$A$15:$A$18))</f>
        <v>8</v>
      </c>
      <c r="T98" s="50">
        <f t="shared" ref="T98:T129" ca="1" si="53">IF(W98&lt;&gt;"-",Q98-S98-W98,Q98-S98)</f>
        <v>161.30917364262132</v>
      </c>
      <c r="U98" s="27">
        <f t="shared" ref="U98:U129" ca="1" si="54">Q98/($J$2*V98)</f>
        <v>0.56436391214207104</v>
      </c>
      <c r="V98" s="50">
        <f t="shared" ca="1" si="51"/>
        <v>3</v>
      </c>
      <c r="W98" s="50" t="str">
        <f t="shared" ref="W98:W129" ca="1" si="55">IF(U98&gt;=$J$7,Q98*$J$6,"-")</f>
        <v>-</v>
      </c>
      <c r="X98" s="50">
        <f t="shared" ca="1" si="44"/>
        <v>45</v>
      </c>
      <c r="Y98" s="50">
        <f t="shared" ca="1" si="45"/>
        <v>2</v>
      </c>
      <c r="Z98" s="18">
        <f t="shared" ca="1" si="46"/>
        <v>800</v>
      </c>
      <c r="AA98" s="50">
        <f t="shared" ca="1" si="47"/>
        <v>49</v>
      </c>
      <c r="AB98" s="50" t="str">
        <f t="shared" ref="AB98:AB129" ca="1" si="56">IF(W98&lt;&gt;"-",LOOKUP(AA98,$D$24:$E$29,$A$24:$A$29)*W98,"-")</f>
        <v>-</v>
      </c>
      <c r="AC98" s="18" t="str">
        <f t="shared" ref="AC98:AC129" ca="1" si="57">IF(AB98&lt;&gt;"-",AB98*$J$10,"0")</f>
        <v>0</v>
      </c>
      <c r="AD98" s="18">
        <f t="shared" ref="AD98:AD129" ca="1" si="58">Z98*$J$12</f>
        <v>240</v>
      </c>
      <c r="AE98" s="18">
        <f t="shared" si="48"/>
        <v>120</v>
      </c>
      <c r="AF98" s="18">
        <f t="shared" ca="1" si="49"/>
        <v>45</v>
      </c>
      <c r="AG98" s="18">
        <f t="shared" ca="1" si="39"/>
        <v>405</v>
      </c>
    </row>
    <row r="99" spans="13:33" x14ac:dyDescent="0.3">
      <c r="M99" s="49">
        <v>98</v>
      </c>
      <c r="N99" s="50">
        <f t="shared" ca="1" si="40"/>
        <v>95</v>
      </c>
      <c r="O99" s="50">
        <f t="shared" ca="1" si="41"/>
        <v>15</v>
      </c>
      <c r="P99" s="50">
        <f t="shared" ca="1" si="50"/>
        <v>161.30917364262132</v>
      </c>
      <c r="Q99" s="50">
        <f t="shared" ca="1" si="42"/>
        <v>176.30917364262132</v>
      </c>
      <c r="R99" s="50">
        <f t="shared" ca="1" si="43"/>
        <v>71</v>
      </c>
      <c r="S99" s="50">
        <f t="shared" ca="1" si="52"/>
        <v>6</v>
      </c>
      <c r="T99" s="50">
        <f t="shared" ca="1" si="53"/>
        <v>170.30917364262132</v>
      </c>
      <c r="U99" s="27">
        <f t="shared" ca="1" si="54"/>
        <v>0.58769724547540436</v>
      </c>
      <c r="V99" s="50">
        <f t="shared" ca="1" si="51"/>
        <v>3</v>
      </c>
      <c r="W99" s="50" t="str">
        <f t="shared" ca="1" si="55"/>
        <v>-</v>
      </c>
      <c r="X99" s="50">
        <f t="shared" ca="1" si="44"/>
        <v>8</v>
      </c>
      <c r="Y99" s="50">
        <f t="shared" ca="1" si="45"/>
        <v>1</v>
      </c>
      <c r="Z99" s="18">
        <f t="shared" ca="1" si="46"/>
        <v>400</v>
      </c>
      <c r="AA99" s="50">
        <f t="shared" ca="1" si="47"/>
        <v>36</v>
      </c>
      <c r="AB99" s="50" t="str">
        <f t="shared" ca="1" si="56"/>
        <v>-</v>
      </c>
      <c r="AC99" s="18" t="str">
        <f t="shared" ca="1" si="57"/>
        <v>0</v>
      </c>
      <c r="AD99" s="18">
        <f t="shared" ca="1" si="58"/>
        <v>120</v>
      </c>
      <c r="AE99" s="18">
        <f t="shared" si="48"/>
        <v>120</v>
      </c>
      <c r="AF99" s="18">
        <f t="shared" ref="AF99:AF130" ca="1" si="59">IF(V99&gt;V98,($J$9*V99)+$J$8*(V99-V98),$J$9*V99)</f>
        <v>45</v>
      </c>
      <c r="AG99" s="18">
        <f t="shared" ca="1" si="39"/>
        <v>285</v>
      </c>
    </row>
    <row r="100" spans="13:33" x14ac:dyDescent="0.3">
      <c r="M100" s="49">
        <v>99</v>
      </c>
      <c r="N100" s="50">
        <f t="shared" ca="1" si="40"/>
        <v>57</v>
      </c>
      <c r="O100" s="50">
        <f t="shared" ca="1" si="41"/>
        <v>8</v>
      </c>
      <c r="P100" s="50">
        <f t="shared" ca="1" si="50"/>
        <v>170.30917364262132</v>
      </c>
      <c r="Q100" s="50">
        <f t="shared" ca="1" si="42"/>
        <v>178.30917364262132</v>
      </c>
      <c r="R100" s="50">
        <f t="shared" ca="1" si="43"/>
        <v>97</v>
      </c>
      <c r="S100" s="50">
        <f t="shared" ca="1" si="52"/>
        <v>8</v>
      </c>
      <c r="T100" s="50">
        <f t="shared" ca="1" si="53"/>
        <v>170.30917364262132</v>
      </c>
      <c r="U100" s="27">
        <f t="shared" ca="1" si="54"/>
        <v>0.59436391214207107</v>
      </c>
      <c r="V100" s="50">
        <f t="shared" ca="1" si="51"/>
        <v>3</v>
      </c>
      <c r="W100" s="50" t="str">
        <f t="shared" ca="1" si="55"/>
        <v>-</v>
      </c>
      <c r="X100" s="50">
        <f t="shared" ca="1" si="44"/>
        <v>24</v>
      </c>
      <c r="Y100" s="50">
        <f t="shared" ca="1" si="45"/>
        <v>2</v>
      </c>
      <c r="Z100" s="18">
        <f t="shared" ca="1" si="46"/>
        <v>800</v>
      </c>
      <c r="AA100" s="50">
        <f t="shared" ca="1" si="47"/>
        <v>18</v>
      </c>
      <c r="AB100" s="50" t="str">
        <f t="shared" ca="1" si="56"/>
        <v>-</v>
      </c>
      <c r="AC100" s="18" t="str">
        <f t="shared" ca="1" si="57"/>
        <v>0</v>
      </c>
      <c r="AD100" s="18">
        <f t="shared" ca="1" si="58"/>
        <v>240</v>
      </c>
      <c r="AE100" s="18">
        <f t="shared" si="48"/>
        <v>120</v>
      </c>
      <c r="AF100" s="18">
        <f t="shared" ca="1" si="59"/>
        <v>45</v>
      </c>
      <c r="AG100" s="18">
        <f t="shared" ca="1" si="39"/>
        <v>405</v>
      </c>
    </row>
    <row r="101" spans="13:33" x14ac:dyDescent="0.3">
      <c r="M101" s="49">
        <v>100</v>
      </c>
      <c r="N101" s="50">
        <f t="shared" ca="1" si="40"/>
        <v>97</v>
      </c>
      <c r="O101" s="50">
        <f t="shared" ca="1" si="41"/>
        <v>18</v>
      </c>
      <c r="P101" s="50">
        <f t="shared" ca="1" si="50"/>
        <v>170.30917364262132</v>
      </c>
      <c r="Q101" s="50">
        <f t="shared" ca="1" si="42"/>
        <v>188.30917364262132</v>
      </c>
      <c r="R101" s="50">
        <f t="shared" ca="1" si="43"/>
        <v>91</v>
      </c>
      <c r="S101" s="50">
        <f t="shared" ca="1" si="52"/>
        <v>8</v>
      </c>
      <c r="T101" s="50">
        <f t="shared" ca="1" si="53"/>
        <v>180.30917364262132</v>
      </c>
      <c r="U101" s="27">
        <f t="shared" ca="1" si="54"/>
        <v>0.6276972454754044</v>
      </c>
      <c r="V101" s="50">
        <f t="shared" ca="1" si="51"/>
        <v>3</v>
      </c>
      <c r="W101" s="50" t="str">
        <f t="shared" ca="1" si="55"/>
        <v>-</v>
      </c>
      <c r="X101" s="50">
        <f t="shared" ca="1" si="44"/>
        <v>83</v>
      </c>
      <c r="Y101" s="50">
        <f t="shared" ca="1" si="45"/>
        <v>4</v>
      </c>
      <c r="Z101" s="18">
        <f t="shared" ca="1" si="46"/>
        <v>1600</v>
      </c>
      <c r="AA101" s="50">
        <f t="shared" ca="1" si="47"/>
        <v>89</v>
      </c>
      <c r="AB101" s="50" t="str">
        <f t="shared" ca="1" si="56"/>
        <v>-</v>
      </c>
      <c r="AC101" s="18" t="str">
        <f t="shared" ca="1" si="57"/>
        <v>0</v>
      </c>
      <c r="AD101" s="18">
        <f t="shared" ca="1" si="58"/>
        <v>480</v>
      </c>
      <c r="AE101" s="18">
        <f t="shared" si="48"/>
        <v>120</v>
      </c>
      <c r="AF101" s="18">
        <f t="shared" ca="1" si="59"/>
        <v>45</v>
      </c>
      <c r="AG101" s="18">
        <f t="shared" ca="1" si="39"/>
        <v>645</v>
      </c>
    </row>
    <row r="102" spans="13:33" x14ac:dyDescent="0.3">
      <c r="M102" s="49">
        <v>101</v>
      </c>
      <c r="N102" s="50">
        <f t="shared" ca="1" si="40"/>
        <v>1</v>
      </c>
      <c r="O102" s="50">
        <f t="shared" ca="1" si="41"/>
        <v>5</v>
      </c>
      <c r="P102" s="50">
        <f t="shared" ca="1" si="50"/>
        <v>180.30917364262132</v>
      </c>
      <c r="Q102" s="50">
        <f t="shared" ca="1" si="42"/>
        <v>185.30917364262132</v>
      </c>
      <c r="R102" s="50">
        <f t="shared" ca="1" si="43"/>
        <v>17</v>
      </c>
      <c r="S102" s="50">
        <f t="shared" ca="1" si="52"/>
        <v>4</v>
      </c>
      <c r="T102" s="50">
        <f t="shared" ca="1" si="53"/>
        <v>181.30917364262132</v>
      </c>
      <c r="U102" s="27">
        <f t="shared" ca="1" si="54"/>
        <v>0.61769724547540439</v>
      </c>
      <c r="V102" s="50">
        <f t="shared" ca="1" si="51"/>
        <v>3</v>
      </c>
      <c r="W102" s="50" t="str">
        <f t="shared" ca="1" si="55"/>
        <v>-</v>
      </c>
      <c r="X102" s="50">
        <f t="shared" ca="1" si="44"/>
        <v>64</v>
      </c>
      <c r="Y102" s="50">
        <f t="shared" ca="1" si="45"/>
        <v>2</v>
      </c>
      <c r="Z102" s="18">
        <f t="shared" ca="1" si="46"/>
        <v>800</v>
      </c>
      <c r="AA102" s="50">
        <f t="shared" ca="1" si="47"/>
        <v>82</v>
      </c>
      <c r="AB102" s="50" t="str">
        <f t="shared" ca="1" si="56"/>
        <v>-</v>
      </c>
      <c r="AC102" s="18" t="str">
        <f t="shared" ca="1" si="57"/>
        <v>0</v>
      </c>
      <c r="AD102" s="18">
        <f t="shared" ca="1" si="58"/>
        <v>240</v>
      </c>
      <c r="AE102" s="18">
        <f t="shared" si="48"/>
        <v>120</v>
      </c>
      <c r="AF102" s="18">
        <f t="shared" ca="1" si="59"/>
        <v>45</v>
      </c>
      <c r="AG102" s="18">
        <f t="shared" ca="1" si="39"/>
        <v>405</v>
      </c>
    </row>
    <row r="103" spans="13:33" x14ac:dyDescent="0.3">
      <c r="M103" s="49">
        <v>102</v>
      </c>
      <c r="N103" s="50">
        <f t="shared" ca="1" si="40"/>
        <v>97</v>
      </c>
      <c r="O103" s="50">
        <f t="shared" ca="1" si="41"/>
        <v>18</v>
      </c>
      <c r="P103" s="50">
        <f t="shared" ca="1" si="50"/>
        <v>181.30917364262132</v>
      </c>
      <c r="Q103" s="50">
        <f t="shared" ca="1" si="42"/>
        <v>199.30917364262132</v>
      </c>
      <c r="R103" s="50">
        <f t="shared" ca="1" si="43"/>
        <v>29</v>
      </c>
      <c r="S103" s="50">
        <f t="shared" ca="1" si="52"/>
        <v>4</v>
      </c>
      <c r="T103" s="50">
        <f t="shared" ca="1" si="53"/>
        <v>195.30917364262132</v>
      </c>
      <c r="U103" s="27">
        <f t="shared" ca="1" si="54"/>
        <v>0.66436391214207102</v>
      </c>
      <c r="V103" s="50">
        <f t="shared" ca="1" si="51"/>
        <v>3</v>
      </c>
      <c r="W103" s="50" t="str">
        <f t="shared" ca="1" si="55"/>
        <v>-</v>
      </c>
      <c r="X103" s="50">
        <f t="shared" ca="1" si="44"/>
        <v>77</v>
      </c>
      <c r="Y103" s="50">
        <f t="shared" ca="1" si="45"/>
        <v>2</v>
      </c>
      <c r="Z103" s="18">
        <f t="shared" ca="1" si="46"/>
        <v>800</v>
      </c>
      <c r="AA103" s="50">
        <f t="shared" ca="1" si="47"/>
        <v>39</v>
      </c>
      <c r="AB103" s="50" t="str">
        <f t="shared" ca="1" si="56"/>
        <v>-</v>
      </c>
      <c r="AC103" s="18" t="str">
        <f t="shared" ca="1" si="57"/>
        <v>0</v>
      </c>
      <c r="AD103" s="18">
        <f t="shared" ca="1" si="58"/>
        <v>240</v>
      </c>
      <c r="AE103" s="18">
        <f t="shared" si="48"/>
        <v>120</v>
      </c>
      <c r="AF103" s="18">
        <f t="shared" ca="1" si="59"/>
        <v>45</v>
      </c>
      <c r="AG103" s="18">
        <f t="shared" ca="1" si="39"/>
        <v>405</v>
      </c>
    </row>
    <row r="104" spans="13:33" x14ac:dyDescent="0.3">
      <c r="M104" s="49">
        <v>103</v>
      </c>
      <c r="N104" s="50">
        <f t="shared" ca="1" si="40"/>
        <v>14</v>
      </c>
      <c r="O104" s="50">
        <f t="shared" ca="1" si="41"/>
        <v>5</v>
      </c>
      <c r="P104" s="50">
        <f t="shared" ca="1" si="50"/>
        <v>195.30917364262132</v>
      </c>
      <c r="Q104" s="50">
        <f t="shared" ca="1" si="42"/>
        <v>200.30917364262132</v>
      </c>
      <c r="R104" s="50">
        <f t="shared" ca="1" si="43"/>
        <v>95</v>
      </c>
      <c r="S104" s="50">
        <f t="shared" ca="1" si="52"/>
        <v>8</v>
      </c>
      <c r="T104" s="50">
        <f t="shared" ca="1" si="53"/>
        <v>192.30917364262132</v>
      </c>
      <c r="U104" s="27">
        <f t="shared" ca="1" si="54"/>
        <v>0.66769724547540443</v>
      </c>
      <c r="V104" s="50">
        <f t="shared" ca="1" si="51"/>
        <v>3</v>
      </c>
      <c r="W104" s="50" t="str">
        <f t="shared" ca="1" si="55"/>
        <v>-</v>
      </c>
      <c r="X104" s="50">
        <f t="shared" ca="1" si="44"/>
        <v>70</v>
      </c>
      <c r="Y104" s="50">
        <f t="shared" ca="1" si="45"/>
        <v>3</v>
      </c>
      <c r="Z104" s="18">
        <f t="shared" ca="1" si="46"/>
        <v>1200</v>
      </c>
      <c r="AA104" s="50">
        <f t="shared" ca="1" si="47"/>
        <v>83</v>
      </c>
      <c r="AB104" s="50" t="str">
        <f t="shared" ca="1" si="56"/>
        <v>-</v>
      </c>
      <c r="AC104" s="18" t="str">
        <f t="shared" ca="1" si="57"/>
        <v>0</v>
      </c>
      <c r="AD104" s="18">
        <f t="shared" ca="1" si="58"/>
        <v>360</v>
      </c>
      <c r="AE104" s="18">
        <f t="shared" si="48"/>
        <v>120</v>
      </c>
      <c r="AF104" s="18">
        <f t="shared" ca="1" si="59"/>
        <v>45</v>
      </c>
      <c r="AG104" s="18">
        <f t="shared" ca="1" si="39"/>
        <v>525</v>
      </c>
    </row>
    <row r="105" spans="13:33" x14ac:dyDescent="0.3">
      <c r="M105" s="49">
        <v>104</v>
      </c>
      <c r="N105" s="50">
        <f t="shared" ca="1" si="40"/>
        <v>82</v>
      </c>
      <c r="O105" s="50">
        <f t="shared" ca="1" si="41"/>
        <v>12</v>
      </c>
      <c r="P105" s="50">
        <f t="shared" ca="1" si="50"/>
        <v>192.30917364262132</v>
      </c>
      <c r="Q105" s="50">
        <f t="shared" ca="1" si="42"/>
        <v>204.30917364262132</v>
      </c>
      <c r="R105" s="50">
        <f t="shared" ca="1" si="43"/>
        <v>12</v>
      </c>
      <c r="S105" s="50">
        <f t="shared" ca="1" si="52"/>
        <v>2</v>
      </c>
      <c r="T105" s="50">
        <f t="shared" ca="1" si="53"/>
        <v>202.30917364262132</v>
      </c>
      <c r="U105" s="27">
        <f t="shared" ca="1" si="54"/>
        <v>0.68103057880873774</v>
      </c>
      <c r="V105" s="50">
        <f t="shared" ca="1" si="51"/>
        <v>3</v>
      </c>
      <c r="W105" s="50" t="str">
        <f t="shared" ca="1" si="55"/>
        <v>-</v>
      </c>
      <c r="X105" s="50">
        <f t="shared" ca="1" si="44"/>
        <v>26</v>
      </c>
      <c r="Y105" s="50">
        <f t="shared" ca="1" si="45"/>
        <v>0</v>
      </c>
      <c r="Z105" s="18">
        <f t="shared" ca="1" si="46"/>
        <v>0</v>
      </c>
      <c r="AA105" s="50">
        <f t="shared" ca="1" si="47"/>
        <v>19</v>
      </c>
      <c r="AB105" s="50" t="str">
        <f t="shared" ca="1" si="56"/>
        <v>-</v>
      </c>
      <c r="AC105" s="18" t="str">
        <f t="shared" ca="1" si="57"/>
        <v>0</v>
      </c>
      <c r="AD105" s="18">
        <f t="shared" ca="1" si="58"/>
        <v>0</v>
      </c>
      <c r="AE105" s="18">
        <f t="shared" si="48"/>
        <v>120</v>
      </c>
      <c r="AF105" s="18">
        <f t="shared" ca="1" si="59"/>
        <v>45</v>
      </c>
      <c r="AG105" s="18">
        <f t="shared" ca="1" si="39"/>
        <v>165</v>
      </c>
    </row>
    <row r="106" spans="13:33" x14ac:dyDescent="0.3">
      <c r="M106" s="49">
        <v>105</v>
      </c>
      <c r="N106" s="50">
        <f t="shared" ca="1" si="40"/>
        <v>17</v>
      </c>
      <c r="O106" s="50">
        <f t="shared" ca="1" si="41"/>
        <v>5</v>
      </c>
      <c r="P106" s="50">
        <f t="shared" ca="1" si="50"/>
        <v>202.30917364262132</v>
      </c>
      <c r="Q106" s="50">
        <f t="shared" ca="1" si="42"/>
        <v>207.30917364262132</v>
      </c>
      <c r="R106" s="50">
        <f t="shared" ca="1" si="43"/>
        <v>86</v>
      </c>
      <c r="S106" s="50">
        <f t="shared" ca="1" si="52"/>
        <v>8</v>
      </c>
      <c r="T106" s="50">
        <f t="shared" ca="1" si="53"/>
        <v>199.30917364262132</v>
      </c>
      <c r="U106" s="27">
        <f t="shared" ca="1" si="54"/>
        <v>0.69103057880873775</v>
      </c>
      <c r="V106" s="50">
        <f t="shared" ca="1" si="51"/>
        <v>3</v>
      </c>
      <c r="W106" s="50" t="str">
        <f t="shared" ca="1" si="55"/>
        <v>-</v>
      </c>
      <c r="X106" s="50">
        <f t="shared" ca="1" si="44"/>
        <v>74</v>
      </c>
      <c r="Y106" s="50">
        <f t="shared" ca="1" si="45"/>
        <v>3</v>
      </c>
      <c r="Z106" s="18">
        <f t="shared" ca="1" si="46"/>
        <v>1200</v>
      </c>
      <c r="AA106" s="50">
        <f t="shared" ca="1" si="47"/>
        <v>58</v>
      </c>
      <c r="AB106" s="50" t="str">
        <f t="shared" ca="1" si="56"/>
        <v>-</v>
      </c>
      <c r="AC106" s="18" t="str">
        <f t="shared" ca="1" si="57"/>
        <v>0</v>
      </c>
      <c r="AD106" s="18">
        <f t="shared" ca="1" si="58"/>
        <v>360</v>
      </c>
      <c r="AE106" s="18">
        <f t="shared" si="48"/>
        <v>120</v>
      </c>
      <c r="AF106" s="18">
        <f t="shared" ca="1" si="59"/>
        <v>45</v>
      </c>
      <c r="AG106" s="18">
        <f t="shared" ca="1" si="39"/>
        <v>525</v>
      </c>
    </row>
    <row r="107" spans="13:33" x14ac:dyDescent="0.3">
      <c r="M107" s="49">
        <v>106</v>
      </c>
      <c r="N107" s="50">
        <f t="shared" ca="1" si="40"/>
        <v>37</v>
      </c>
      <c r="O107" s="50">
        <f t="shared" ca="1" si="41"/>
        <v>5</v>
      </c>
      <c r="P107" s="50">
        <f t="shared" ca="1" si="50"/>
        <v>199.30917364262132</v>
      </c>
      <c r="Q107" s="50">
        <f t="shared" ca="1" si="42"/>
        <v>204.30917364262132</v>
      </c>
      <c r="R107" s="50">
        <f t="shared" ca="1" si="43"/>
        <v>10</v>
      </c>
      <c r="S107" s="50">
        <f t="shared" ca="1" si="52"/>
        <v>2</v>
      </c>
      <c r="T107" s="50">
        <f t="shared" ca="1" si="53"/>
        <v>202.30917364262132</v>
      </c>
      <c r="U107" s="27">
        <f t="shared" ca="1" si="54"/>
        <v>0.68103057880873774</v>
      </c>
      <c r="V107" s="50">
        <f t="shared" ca="1" si="51"/>
        <v>3</v>
      </c>
      <c r="W107" s="50" t="str">
        <f t="shared" ca="1" si="55"/>
        <v>-</v>
      </c>
      <c r="X107" s="50">
        <f t="shared" ca="1" si="44"/>
        <v>65</v>
      </c>
      <c r="Y107" s="50">
        <f t="shared" ca="1" si="45"/>
        <v>1</v>
      </c>
      <c r="Z107" s="18">
        <f t="shared" ca="1" si="46"/>
        <v>400</v>
      </c>
      <c r="AA107" s="50">
        <f t="shared" ca="1" si="47"/>
        <v>90</v>
      </c>
      <c r="AB107" s="50" t="str">
        <f t="shared" ca="1" si="56"/>
        <v>-</v>
      </c>
      <c r="AC107" s="18" t="str">
        <f t="shared" ca="1" si="57"/>
        <v>0</v>
      </c>
      <c r="AD107" s="18">
        <f t="shared" ca="1" si="58"/>
        <v>120</v>
      </c>
      <c r="AE107" s="18">
        <f t="shared" si="48"/>
        <v>120</v>
      </c>
      <c r="AF107" s="18">
        <f t="shared" ca="1" si="59"/>
        <v>45</v>
      </c>
      <c r="AG107" s="18">
        <f t="shared" ca="1" si="39"/>
        <v>285</v>
      </c>
    </row>
    <row r="108" spans="13:33" x14ac:dyDescent="0.3">
      <c r="M108" s="49">
        <v>107</v>
      </c>
      <c r="N108" s="50">
        <f t="shared" ca="1" si="40"/>
        <v>59</v>
      </c>
      <c r="O108" s="50">
        <f t="shared" ca="1" si="41"/>
        <v>8</v>
      </c>
      <c r="P108" s="50">
        <f t="shared" ca="1" si="50"/>
        <v>202.30917364262132</v>
      </c>
      <c r="Q108" s="50">
        <f t="shared" ca="1" si="42"/>
        <v>210.30917364262132</v>
      </c>
      <c r="R108" s="50">
        <f t="shared" ca="1" si="43"/>
        <v>91</v>
      </c>
      <c r="S108" s="50">
        <f t="shared" ca="1" si="52"/>
        <v>8</v>
      </c>
      <c r="T108" s="50">
        <f t="shared" ca="1" si="53"/>
        <v>202.30917364262132</v>
      </c>
      <c r="U108" s="27">
        <f t="shared" ca="1" si="54"/>
        <v>0.70103057880873776</v>
      </c>
      <c r="V108" s="50">
        <f t="shared" ca="1" si="51"/>
        <v>3</v>
      </c>
      <c r="W108" s="50" t="str">
        <f t="shared" ca="1" si="55"/>
        <v>-</v>
      </c>
      <c r="X108" s="50">
        <f t="shared" ca="1" si="44"/>
        <v>1</v>
      </c>
      <c r="Y108" s="50">
        <f t="shared" ca="1" si="45"/>
        <v>2</v>
      </c>
      <c r="Z108" s="18">
        <f t="shared" ca="1" si="46"/>
        <v>800</v>
      </c>
      <c r="AA108" s="50">
        <f t="shared" ca="1" si="47"/>
        <v>48</v>
      </c>
      <c r="AB108" s="50" t="str">
        <f t="shared" ca="1" si="56"/>
        <v>-</v>
      </c>
      <c r="AC108" s="18" t="str">
        <f t="shared" ca="1" si="57"/>
        <v>0</v>
      </c>
      <c r="AD108" s="18">
        <f t="shared" ca="1" si="58"/>
        <v>240</v>
      </c>
      <c r="AE108" s="18">
        <f t="shared" si="48"/>
        <v>120</v>
      </c>
      <c r="AF108" s="18">
        <f t="shared" ca="1" si="59"/>
        <v>45</v>
      </c>
      <c r="AG108" s="18">
        <f t="shared" ca="1" si="39"/>
        <v>405</v>
      </c>
    </row>
    <row r="109" spans="13:33" x14ac:dyDescent="0.3">
      <c r="M109" s="49">
        <v>108</v>
      </c>
      <c r="N109" s="50">
        <f t="shared" ca="1" si="40"/>
        <v>27</v>
      </c>
      <c r="O109" s="50">
        <f t="shared" ca="1" si="41"/>
        <v>5</v>
      </c>
      <c r="P109" s="50">
        <f t="shared" ca="1" si="50"/>
        <v>202.30917364262132</v>
      </c>
      <c r="Q109" s="50">
        <f t="shared" ca="1" si="42"/>
        <v>207.30917364262132</v>
      </c>
      <c r="R109" s="50">
        <f t="shared" ca="1" si="43"/>
        <v>22</v>
      </c>
      <c r="S109" s="50">
        <f t="shared" ca="1" si="52"/>
        <v>4</v>
      </c>
      <c r="T109" s="50">
        <f t="shared" ca="1" si="53"/>
        <v>203.30917364262132</v>
      </c>
      <c r="U109" s="27">
        <f t="shared" ca="1" si="54"/>
        <v>0.69103057880873775</v>
      </c>
      <c r="V109" s="50">
        <f t="shared" ca="1" si="51"/>
        <v>3</v>
      </c>
      <c r="W109" s="50" t="str">
        <f t="shared" ca="1" si="55"/>
        <v>-</v>
      </c>
      <c r="X109" s="50">
        <f t="shared" ca="1" si="44"/>
        <v>68</v>
      </c>
      <c r="Y109" s="50">
        <f t="shared" ca="1" si="45"/>
        <v>2</v>
      </c>
      <c r="Z109" s="18">
        <f t="shared" ca="1" si="46"/>
        <v>800</v>
      </c>
      <c r="AA109" s="50">
        <f t="shared" ca="1" si="47"/>
        <v>78</v>
      </c>
      <c r="AB109" s="50" t="str">
        <f t="shared" ca="1" si="56"/>
        <v>-</v>
      </c>
      <c r="AC109" s="18" t="str">
        <f t="shared" ca="1" si="57"/>
        <v>0</v>
      </c>
      <c r="AD109" s="18">
        <f t="shared" ca="1" si="58"/>
        <v>240</v>
      </c>
      <c r="AE109" s="18">
        <f t="shared" si="48"/>
        <v>120</v>
      </c>
      <c r="AF109" s="18">
        <f t="shared" ca="1" si="59"/>
        <v>45</v>
      </c>
      <c r="AG109" s="18">
        <f t="shared" ca="1" si="39"/>
        <v>405</v>
      </c>
    </row>
    <row r="110" spans="13:33" x14ac:dyDescent="0.3">
      <c r="M110" s="49">
        <v>109</v>
      </c>
      <c r="N110" s="50">
        <f t="shared" ca="1" si="40"/>
        <v>76</v>
      </c>
      <c r="O110" s="50">
        <f t="shared" ca="1" si="41"/>
        <v>12</v>
      </c>
      <c r="P110" s="50">
        <f t="shared" ca="1" si="50"/>
        <v>203.30917364262132</v>
      </c>
      <c r="Q110" s="50">
        <f t="shared" ca="1" si="42"/>
        <v>215.30917364262132</v>
      </c>
      <c r="R110" s="50">
        <f t="shared" ca="1" si="43"/>
        <v>67</v>
      </c>
      <c r="S110" s="50">
        <f t="shared" ca="1" si="52"/>
        <v>6</v>
      </c>
      <c r="T110" s="50">
        <f t="shared" ca="1" si="53"/>
        <v>209.30917364262132</v>
      </c>
      <c r="U110" s="27">
        <f t="shared" ca="1" si="54"/>
        <v>0.71769724547540437</v>
      </c>
      <c r="V110" s="50">
        <f t="shared" ca="1" si="51"/>
        <v>3</v>
      </c>
      <c r="W110" s="50" t="str">
        <f t="shared" ca="1" si="55"/>
        <v>-</v>
      </c>
      <c r="X110" s="50">
        <f t="shared" ca="1" si="44"/>
        <v>9</v>
      </c>
      <c r="Y110" s="50">
        <f t="shared" ca="1" si="45"/>
        <v>1</v>
      </c>
      <c r="Z110" s="18">
        <f t="shared" ca="1" si="46"/>
        <v>400</v>
      </c>
      <c r="AA110" s="50">
        <f t="shared" ca="1" si="47"/>
        <v>75</v>
      </c>
      <c r="AB110" s="50" t="str">
        <f t="shared" ca="1" si="56"/>
        <v>-</v>
      </c>
      <c r="AC110" s="18" t="str">
        <f t="shared" ca="1" si="57"/>
        <v>0</v>
      </c>
      <c r="AD110" s="18">
        <f t="shared" ca="1" si="58"/>
        <v>120</v>
      </c>
      <c r="AE110" s="18">
        <f t="shared" si="48"/>
        <v>120</v>
      </c>
      <c r="AF110" s="18">
        <f t="shared" ca="1" si="59"/>
        <v>45</v>
      </c>
      <c r="AG110" s="18">
        <f t="shared" ca="1" si="39"/>
        <v>285</v>
      </c>
    </row>
    <row r="111" spans="13:33" x14ac:dyDescent="0.3">
      <c r="M111" s="49">
        <v>110</v>
      </c>
      <c r="N111" s="50">
        <f t="shared" ca="1" si="40"/>
        <v>31</v>
      </c>
      <c r="O111" s="50">
        <f t="shared" ca="1" si="41"/>
        <v>5</v>
      </c>
      <c r="P111" s="50">
        <f t="shared" ca="1" si="50"/>
        <v>209.30917364262132</v>
      </c>
      <c r="Q111" s="50">
        <f t="shared" ca="1" si="42"/>
        <v>214.30917364262132</v>
      </c>
      <c r="R111" s="50">
        <f t="shared" ca="1" si="43"/>
        <v>39</v>
      </c>
      <c r="S111" s="50">
        <f t="shared" ca="1" si="52"/>
        <v>4</v>
      </c>
      <c r="T111" s="50">
        <f t="shared" ca="1" si="53"/>
        <v>210.30917364262132</v>
      </c>
      <c r="U111" s="27">
        <f t="shared" ca="1" si="54"/>
        <v>0.71436391214207107</v>
      </c>
      <c r="V111" s="50">
        <f t="shared" ca="1" si="51"/>
        <v>3</v>
      </c>
      <c r="W111" s="50" t="str">
        <f t="shared" ca="1" si="55"/>
        <v>-</v>
      </c>
      <c r="X111" s="50">
        <f t="shared" ca="1" si="44"/>
        <v>22</v>
      </c>
      <c r="Y111" s="50">
        <f t="shared" ca="1" si="45"/>
        <v>1</v>
      </c>
      <c r="Z111" s="18">
        <f t="shared" ca="1" si="46"/>
        <v>400</v>
      </c>
      <c r="AA111" s="50">
        <f t="shared" ca="1" si="47"/>
        <v>50</v>
      </c>
      <c r="AB111" s="50" t="str">
        <f t="shared" ca="1" si="56"/>
        <v>-</v>
      </c>
      <c r="AC111" s="18" t="str">
        <f t="shared" ca="1" si="57"/>
        <v>0</v>
      </c>
      <c r="AD111" s="18">
        <f t="shared" ca="1" si="58"/>
        <v>120</v>
      </c>
      <c r="AE111" s="18">
        <f t="shared" si="48"/>
        <v>120</v>
      </c>
      <c r="AF111" s="18">
        <f t="shared" ca="1" si="59"/>
        <v>45</v>
      </c>
      <c r="AG111" s="18">
        <f t="shared" ca="1" si="39"/>
        <v>285</v>
      </c>
    </row>
    <row r="112" spans="13:33" x14ac:dyDescent="0.3">
      <c r="M112" s="49">
        <v>111</v>
      </c>
      <c r="N112" s="50">
        <f t="shared" ca="1" si="40"/>
        <v>42</v>
      </c>
      <c r="O112" s="50">
        <f t="shared" ca="1" si="41"/>
        <v>5</v>
      </c>
      <c r="P112" s="50">
        <f t="shared" ca="1" si="50"/>
        <v>210.30917364262132</v>
      </c>
      <c r="Q112" s="50">
        <f t="shared" ca="1" si="42"/>
        <v>215.30917364262132</v>
      </c>
      <c r="R112" s="50">
        <f t="shared" ca="1" si="43"/>
        <v>17</v>
      </c>
      <c r="S112" s="50">
        <f t="shared" ca="1" si="52"/>
        <v>4</v>
      </c>
      <c r="T112" s="50">
        <f t="shared" ca="1" si="53"/>
        <v>211.30917364262132</v>
      </c>
      <c r="U112" s="27">
        <f t="shared" ca="1" si="54"/>
        <v>0.71769724547540437</v>
      </c>
      <c r="V112" s="50">
        <f t="shared" ca="1" si="51"/>
        <v>3</v>
      </c>
      <c r="W112" s="50" t="str">
        <f t="shared" ca="1" si="55"/>
        <v>-</v>
      </c>
      <c r="X112" s="50">
        <f t="shared" ca="1" si="44"/>
        <v>63</v>
      </c>
      <c r="Y112" s="50">
        <f t="shared" ca="1" si="45"/>
        <v>2</v>
      </c>
      <c r="Z112" s="18">
        <f t="shared" ca="1" si="46"/>
        <v>800</v>
      </c>
      <c r="AA112" s="50">
        <f t="shared" ca="1" si="47"/>
        <v>85</v>
      </c>
      <c r="AB112" s="50" t="str">
        <f t="shared" ca="1" si="56"/>
        <v>-</v>
      </c>
      <c r="AC112" s="18" t="str">
        <f t="shared" ca="1" si="57"/>
        <v>0</v>
      </c>
      <c r="AD112" s="18">
        <f t="shared" ca="1" si="58"/>
        <v>240</v>
      </c>
      <c r="AE112" s="18">
        <f t="shared" si="48"/>
        <v>120</v>
      </c>
      <c r="AF112" s="18">
        <f t="shared" ca="1" si="59"/>
        <v>45</v>
      </c>
      <c r="AG112" s="18">
        <f t="shared" ca="1" si="39"/>
        <v>405</v>
      </c>
    </row>
    <row r="113" spans="13:33" x14ac:dyDescent="0.3">
      <c r="M113" s="49">
        <v>112</v>
      </c>
      <c r="N113" s="50">
        <f t="shared" ca="1" si="40"/>
        <v>36</v>
      </c>
      <c r="O113" s="50">
        <f t="shared" ca="1" si="41"/>
        <v>5</v>
      </c>
      <c r="P113" s="50">
        <f t="shared" ca="1" si="50"/>
        <v>211.30917364262132</v>
      </c>
      <c r="Q113" s="50">
        <f t="shared" ca="1" si="42"/>
        <v>216.30917364262132</v>
      </c>
      <c r="R113" s="50">
        <f t="shared" ca="1" si="43"/>
        <v>30</v>
      </c>
      <c r="S113" s="50">
        <f t="shared" ca="1" si="52"/>
        <v>4</v>
      </c>
      <c r="T113" s="50">
        <f t="shared" ca="1" si="53"/>
        <v>212.30917364262132</v>
      </c>
      <c r="U113" s="27">
        <f t="shared" ca="1" si="54"/>
        <v>0.72103057880873778</v>
      </c>
      <c r="V113" s="50">
        <f t="shared" ca="1" si="51"/>
        <v>3</v>
      </c>
      <c r="W113" s="50" t="str">
        <f t="shared" ca="1" si="55"/>
        <v>-</v>
      </c>
      <c r="X113" s="50">
        <f t="shared" ca="1" si="44"/>
        <v>13</v>
      </c>
      <c r="Y113" s="50">
        <f t="shared" ca="1" si="45"/>
        <v>1</v>
      </c>
      <c r="Z113" s="18">
        <f t="shared" ca="1" si="46"/>
        <v>400</v>
      </c>
      <c r="AA113" s="50">
        <f t="shared" ca="1" si="47"/>
        <v>5</v>
      </c>
      <c r="AB113" s="50" t="str">
        <f t="shared" ca="1" si="56"/>
        <v>-</v>
      </c>
      <c r="AC113" s="18" t="str">
        <f t="shared" ca="1" si="57"/>
        <v>0</v>
      </c>
      <c r="AD113" s="18">
        <f t="shared" ca="1" si="58"/>
        <v>120</v>
      </c>
      <c r="AE113" s="18">
        <f t="shared" si="48"/>
        <v>120</v>
      </c>
      <c r="AF113" s="18">
        <f t="shared" ca="1" si="59"/>
        <v>45</v>
      </c>
      <c r="AG113" s="18">
        <f t="shared" ca="1" si="39"/>
        <v>285</v>
      </c>
    </row>
    <row r="114" spans="13:33" x14ac:dyDescent="0.3">
      <c r="M114" s="49">
        <v>113</v>
      </c>
      <c r="N114" s="50">
        <f t="shared" ca="1" si="40"/>
        <v>51</v>
      </c>
      <c r="O114" s="50">
        <f t="shared" ca="1" si="41"/>
        <v>8</v>
      </c>
      <c r="P114" s="50">
        <f t="shared" ca="1" si="50"/>
        <v>212.30917364262132</v>
      </c>
      <c r="Q114" s="50">
        <f t="shared" ca="1" si="42"/>
        <v>220.30917364262132</v>
      </c>
      <c r="R114" s="50">
        <f t="shared" ca="1" si="43"/>
        <v>14</v>
      </c>
      <c r="S114" s="50">
        <f t="shared" ca="1" si="52"/>
        <v>2</v>
      </c>
      <c r="T114" s="50">
        <f t="shared" ca="1" si="53"/>
        <v>218.30917364262132</v>
      </c>
      <c r="U114" s="27">
        <f t="shared" ca="1" si="54"/>
        <v>0.73436391214207108</v>
      </c>
      <c r="V114" s="50">
        <f t="shared" ca="1" si="51"/>
        <v>3</v>
      </c>
      <c r="W114" s="50" t="str">
        <f t="shared" ca="1" si="55"/>
        <v>-</v>
      </c>
      <c r="X114" s="50">
        <f t="shared" ca="1" si="44"/>
        <v>71</v>
      </c>
      <c r="Y114" s="50">
        <f t="shared" ca="1" si="45"/>
        <v>1</v>
      </c>
      <c r="Z114" s="18">
        <f t="shared" ca="1" si="46"/>
        <v>400</v>
      </c>
      <c r="AA114" s="50">
        <f t="shared" ca="1" si="47"/>
        <v>10</v>
      </c>
      <c r="AB114" s="50" t="str">
        <f t="shared" ca="1" si="56"/>
        <v>-</v>
      </c>
      <c r="AC114" s="18" t="str">
        <f t="shared" ca="1" si="57"/>
        <v>0</v>
      </c>
      <c r="AD114" s="18">
        <f t="shared" ca="1" si="58"/>
        <v>120</v>
      </c>
      <c r="AE114" s="18">
        <f t="shared" si="48"/>
        <v>120</v>
      </c>
      <c r="AF114" s="18">
        <f t="shared" ca="1" si="59"/>
        <v>45</v>
      </c>
      <c r="AG114" s="18">
        <f t="shared" ca="1" si="39"/>
        <v>285</v>
      </c>
    </row>
    <row r="115" spans="13:33" x14ac:dyDescent="0.3">
      <c r="M115" s="49">
        <v>114</v>
      </c>
      <c r="N115" s="50">
        <f t="shared" ca="1" si="40"/>
        <v>48</v>
      </c>
      <c r="O115" s="50">
        <f t="shared" ca="1" si="41"/>
        <v>8</v>
      </c>
      <c r="P115" s="50">
        <f t="shared" ca="1" si="50"/>
        <v>218.30917364262132</v>
      </c>
      <c r="Q115" s="50">
        <f t="shared" ca="1" si="42"/>
        <v>226.30917364262132</v>
      </c>
      <c r="R115" s="50">
        <f t="shared" ca="1" si="43"/>
        <v>3</v>
      </c>
      <c r="S115" s="50">
        <f t="shared" ca="1" si="52"/>
        <v>2</v>
      </c>
      <c r="T115" s="50">
        <f t="shared" ca="1" si="53"/>
        <v>201.67825627835919</v>
      </c>
      <c r="U115" s="27">
        <f t="shared" ca="1" si="54"/>
        <v>0.7543639121420711</v>
      </c>
      <c r="V115" s="50">
        <f t="shared" ca="1" si="51"/>
        <v>3</v>
      </c>
      <c r="W115" s="50">
        <f t="shared" ca="1" si="55"/>
        <v>22.630917364262132</v>
      </c>
      <c r="X115" s="50">
        <f t="shared" ca="1" si="44"/>
        <v>57</v>
      </c>
      <c r="Y115" s="50">
        <f t="shared" ca="1" si="45"/>
        <v>1</v>
      </c>
      <c r="Z115" s="18">
        <f t="shared" ca="1" si="46"/>
        <v>400</v>
      </c>
      <c r="AA115" s="50">
        <f t="shared" ca="1" si="47"/>
        <v>47</v>
      </c>
      <c r="AB115" s="50">
        <f t="shared" ca="1" si="56"/>
        <v>4.5261834728524262</v>
      </c>
      <c r="AC115" s="18">
        <f t="shared" ca="1" si="57"/>
        <v>1810.4733891409705</v>
      </c>
      <c r="AD115" s="18">
        <f t="shared" ca="1" si="58"/>
        <v>120</v>
      </c>
      <c r="AE115" s="18">
        <f t="shared" si="48"/>
        <v>120</v>
      </c>
      <c r="AF115" s="18">
        <f t="shared" ca="1" si="59"/>
        <v>45</v>
      </c>
      <c r="AG115" s="18">
        <f t="shared" ca="1" si="39"/>
        <v>2095.4733891409705</v>
      </c>
    </row>
    <row r="116" spans="13:33" x14ac:dyDescent="0.3">
      <c r="M116" s="49">
        <v>115</v>
      </c>
      <c r="N116" s="50">
        <f t="shared" ca="1" si="40"/>
        <v>95</v>
      </c>
      <c r="O116" s="50">
        <f t="shared" ca="1" si="41"/>
        <v>15</v>
      </c>
      <c r="P116" s="50">
        <f t="shared" ca="1" si="50"/>
        <v>201.67825627835919</v>
      </c>
      <c r="Q116" s="50">
        <f t="shared" ca="1" si="42"/>
        <v>216.67825627835919</v>
      </c>
      <c r="R116" s="50">
        <f t="shared" ca="1" si="43"/>
        <v>35</v>
      </c>
      <c r="S116" s="50">
        <f t="shared" ca="1" si="52"/>
        <v>4</v>
      </c>
      <c r="T116" s="50">
        <f t="shared" ca="1" si="53"/>
        <v>212.67825627835919</v>
      </c>
      <c r="U116" s="27">
        <f t="shared" ca="1" si="54"/>
        <v>0.72226085426119724</v>
      </c>
      <c r="V116" s="50">
        <f t="shared" ca="1" si="51"/>
        <v>3</v>
      </c>
      <c r="W116" s="50" t="str">
        <f t="shared" ca="1" si="55"/>
        <v>-</v>
      </c>
      <c r="X116" s="50">
        <f t="shared" ca="1" si="44"/>
        <v>3</v>
      </c>
      <c r="Y116" s="50">
        <f t="shared" ca="1" si="45"/>
        <v>1</v>
      </c>
      <c r="Z116" s="18">
        <f t="shared" ca="1" si="46"/>
        <v>400</v>
      </c>
      <c r="AA116" s="50">
        <f t="shared" ca="1" si="47"/>
        <v>77</v>
      </c>
      <c r="AB116" s="50" t="str">
        <f t="shared" ca="1" si="56"/>
        <v>-</v>
      </c>
      <c r="AC116" s="18" t="str">
        <f t="shared" ca="1" si="57"/>
        <v>0</v>
      </c>
      <c r="AD116" s="18">
        <f t="shared" ca="1" si="58"/>
        <v>120</v>
      </c>
      <c r="AE116" s="18">
        <f t="shared" si="48"/>
        <v>120</v>
      </c>
      <c r="AF116" s="18">
        <f t="shared" ca="1" si="59"/>
        <v>45</v>
      </c>
      <c r="AG116" s="18">
        <f t="shared" ca="1" si="39"/>
        <v>285</v>
      </c>
    </row>
    <row r="117" spans="13:33" x14ac:dyDescent="0.3">
      <c r="M117" s="49">
        <v>116</v>
      </c>
      <c r="N117" s="50">
        <f t="shared" ca="1" si="40"/>
        <v>60</v>
      </c>
      <c r="O117" s="50">
        <f t="shared" ca="1" si="41"/>
        <v>8</v>
      </c>
      <c r="P117" s="50">
        <f t="shared" ca="1" si="50"/>
        <v>212.67825627835919</v>
      </c>
      <c r="Q117" s="50">
        <f t="shared" ca="1" si="42"/>
        <v>220.67825627835919</v>
      </c>
      <c r="R117" s="50">
        <f t="shared" ca="1" si="43"/>
        <v>11</v>
      </c>
      <c r="S117" s="50">
        <f t="shared" ca="1" si="52"/>
        <v>2</v>
      </c>
      <c r="T117" s="50">
        <f t="shared" ca="1" si="53"/>
        <v>218.67825627835919</v>
      </c>
      <c r="U117" s="27">
        <f t="shared" ca="1" si="54"/>
        <v>0.73559418759453066</v>
      </c>
      <c r="V117" s="50">
        <f t="shared" ca="1" si="51"/>
        <v>3</v>
      </c>
      <c r="W117" s="50" t="str">
        <f t="shared" ca="1" si="55"/>
        <v>-</v>
      </c>
      <c r="X117" s="50">
        <f t="shared" ca="1" si="44"/>
        <v>33</v>
      </c>
      <c r="Y117" s="50">
        <f t="shared" ca="1" si="45"/>
        <v>0</v>
      </c>
      <c r="Z117" s="18">
        <f t="shared" ca="1" si="46"/>
        <v>0</v>
      </c>
      <c r="AA117" s="50">
        <f t="shared" ca="1" si="47"/>
        <v>62</v>
      </c>
      <c r="AB117" s="50" t="str">
        <f t="shared" ca="1" si="56"/>
        <v>-</v>
      </c>
      <c r="AC117" s="18" t="str">
        <f t="shared" ca="1" si="57"/>
        <v>0</v>
      </c>
      <c r="AD117" s="18">
        <f t="shared" ca="1" si="58"/>
        <v>0</v>
      </c>
      <c r="AE117" s="18">
        <f t="shared" si="48"/>
        <v>120</v>
      </c>
      <c r="AF117" s="18">
        <f t="shared" ca="1" si="59"/>
        <v>45</v>
      </c>
      <c r="AG117" s="18">
        <f t="shared" ca="1" si="39"/>
        <v>165</v>
      </c>
    </row>
    <row r="118" spans="13:33" x14ac:dyDescent="0.3">
      <c r="M118" s="49">
        <v>117</v>
      </c>
      <c r="N118" s="50">
        <f t="shared" ca="1" si="40"/>
        <v>80</v>
      </c>
      <c r="O118" s="50">
        <f t="shared" ca="1" si="41"/>
        <v>12</v>
      </c>
      <c r="P118" s="50">
        <f t="shared" ca="1" si="50"/>
        <v>218.67825627835919</v>
      </c>
      <c r="Q118" s="50">
        <f t="shared" ca="1" si="42"/>
        <v>230.67825627835919</v>
      </c>
      <c r="R118" s="50">
        <f t="shared" ca="1" si="43"/>
        <v>55</v>
      </c>
      <c r="S118" s="50">
        <f t="shared" ca="1" si="52"/>
        <v>6</v>
      </c>
      <c r="T118" s="50">
        <f t="shared" ca="1" si="53"/>
        <v>201.61043065052326</v>
      </c>
      <c r="U118" s="27">
        <f t="shared" ca="1" si="54"/>
        <v>0.76892752092786398</v>
      </c>
      <c r="V118" s="50">
        <f t="shared" ca="1" si="51"/>
        <v>3</v>
      </c>
      <c r="W118" s="50">
        <f t="shared" ca="1" si="55"/>
        <v>23.067825627835919</v>
      </c>
      <c r="X118" s="50">
        <f t="shared" ca="1" si="44"/>
        <v>32</v>
      </c>
      <c r="Y118" s="50">
        <f t="shared" ca="1" si="45"/>
        <v>1</v>
      </c>
      <c r="Z118" s="18">
        <f t="shared" ca="1" si="46"/>
        <v>400</v>
      </c>
      <c r="AA118" s="50">
        <f t="shared" ca="1" si="47"/>
        <v>9</v>
      </c>
      <c r="AB118" s="50">
        <f t="shared" ca="1" si="56"/>
        <v>4.6135651255671837</v>
      </c>
      <c r="AC118" s="18">
        <f t="shared" ca="1" si="57"/>
        <v>1845.4260502268735</v>
      </c>
      <c r="AD118" s="18">
        <f t="shared" ca="1" si="58"/>
        <v>120</v>
      </c>
      <c r="AE118" s="18">
        <f t="shared" si="48"/>
        <v>120</v>
      </c>
      <c r="AF118" s="18">
        <f t="shared" ca="1" si="59"/>
        <v>45</v>
      </c>
      <c r="AG118" s="18">
        <f t="shared" ca="1" si="39"/>
        <v>2130.4260502268735</v>
      </c>
    </row>
    <row r="119" spans="13:33" x14ac:dyDescent="0.3">
      <c r="M119" s="49">
        <v>118</v>
      </c>
      <c r="N119" s="50">
        <f t="shared" ca="1" si="40"/>
        <v>95</v>
      </c>
      <c r="O119" s="50">
        <f t="shared" ca="1" si="41"/>
        <v>15</v>
      </c>
      <c r="P119" s="50">
        <f t="shared" ca="1" si="50"/>
        <v>201.61043065052326</v>
      </c>
      <c r="Q119" s="50">
        <f t="shared" ca="1" si="42"/>
        <v>216.61043065052326</v>
      </c>
      <c r="R119" s="50">
        <f t="shared" ca="1" si="43"/>
        <v>24</v>
      </c>
      <c r="S119" s="50">
        <f t="shared" ca="1" si="52"/>
        <v>4</v>
      </c>
      <c r="T119" s="50">
        <f t="shared" ca="1" si="53"/>
        <v>212.61043065052326</v>
      </c>
      <c r="U119" s="27">
        <f t="shared" ca="1" si="54"/>
        <v>0.72203476883507756</v>
      </c>
      <c r="V119" s="50">
        <f t="shared" ca="1" si="51"/>
        <v>3</v>
      </c>
      <c r="W119" s="50" t="str">
        <f t="shared" ca="1" si="55"/>
        <v>-</v>
      </c>
      <c r="X119" s="50">
        <f t="shared" ca="1" si="44"/>
        <v>56</v>
      </c>
      <c r="Y119" s="50">
        <f t="shared" ca="1" si="45"/>
        <v>1</v>
      </c>
      <c r="Z119" s="18">
        <f t="shared" ca="1" si="46"/>
        <v>400</v>
      </c>
      <c r="AA119" s="50">
        <f t="shared" ca="1" si="47"/>
        <v>68</v>
      </c>
      <c r="AB119" s="50" t="str">
        <f t="shared" ca="1" si="56"/>
        <v>-</v>
      </c>
      <c r="AC119" s="18" t="str">
        <f t="shared" ca="1" si="57"/>
        <v>0</v>
      </c>
      <c r="AD119" s="18">
        <f t="shared" ca="1" si="58"/>
        <v>120</v>
      </c>
      <c r="AE119" s="18">
        <f t="shared" si="48"/>
        <v>120</v>
      </c>
      <c r="AF119" s="18">
        <f t="shared" ca="1" si="59"/>
        <v>45</v>
      </c>
      <c r="AG119" s="18">
        <f t="shared" ca="1" si="39"/>
        <v>285</v>
      </c>
    </row>
    <row r="120" spans="13:33" x14ac:dyDescent="0.3">
      <c r="M120" s="49">
        <v>119</v>
      </c>
      <c r="N120" s="50">
        <f t="shared" ca="1" si="40"/>
        <v>95</v>
      </c>
      <c r="O120" s="50">
        <f t="shared" ca="1" si="41"/>
        <v>15</v>
      </c>
      <c r="P120" s="50">
        <f t="shared" ca="1" si="50"/>
        <v>212.61043065052326</v>
      </c>
      <c r="Q120" s="50">
        <f t="shared" ca="1" si="42"/>
        <v>227.61043065052326</v>
      </c>
      <c r="R120" s="50">
        <f t="shared" ca="1" si="43"/>
        <v>72</v>
      </c>
      <c r="S120" s="50">
        <f t="shared" ca="1" si="52"/>
        <v>6</v>
      </c>
      <c r="T120" s="50">
        <f t="shared" ca="1" si="53"/>
        <v>198.84938758547094</v>
      </c>
      <c r="U120" s="27">
        <f t="shared" ca="1" si="54"/>
        <v>0.75870143550174418</v>
      </c>
      <c r="V120" s="50">
        <f t="shared" ca="1" si="51"/>
        <v>3</v>
      </c>
      <c r="W120" s="50">
        <f t="shared" ca="1" si="55"/>
        <v>22.761043065052327</v>
      </c>
      <c r="X120" s="50">
        <f t="shared" ca="1" si="44"/>
        <v>74</v>
      </c>
      <c r="Y120" s="50">
        <f t="shared" ca="1" si="45"/>
        <v>2</v>
      </c>
      <c r="Z120" s="18">
        <f t="shared" ca="1" si="46"/>
        <v>800</v>
      </c>
      <c r="AA120" s="50">
        <f t="shared" ca="1" si="47"/>
        <v>20</v>
      </c>
      <c r="AB120" s="50">
        <f t="shared" ca="1" si="56"/>
        <v>4.5522086130104658</v>
      </c>
      <c r="AC120" s="18">
        <f t="shared" ca="1" si="57"/>
        <v>1820.8834452041863</v>
      </c>
      <c r="AD120" s="18">
        <f t="shared" ca="1" si="58"/>
        <v>240</v>
      </c>
      <c r="AE120" s="18">
        <f t="shared" si="48"/>
        <v>120</v>
      </c>
      <c r="AF120" s="18">
        <f t="shared" ca="1" si="59"/>
        <v>45</v>
      </c>
      <c r="AG120" s="18">
        <f t="shared" ca="1" si="39"/>
        <v>2225.8834452041865</v>
      </c>
    </row>
    <row r="121" spans="13:33" x14ac:dyDescent="0.3">
      <c r="M121" s="49">
        <v>120</v>
      </c>
      <c r="N121" s="50">
        <f t="shared" ca="1" si="40"/>
        <v>51</v>
      </c>
      <c r="O121" s="50">
        <f t="shared" ca="1" si="41"/>
        <v>8</v>
      </c>
      <c r="P121" s="50">
        <f t="shared" ca="1" si="50"/>
        <v>198.84938758547094</v>
      </c>
      <c r="Q121" s="50">
        <f t="shared" ca="1" si="42"/>
        <v>206.84938758547094</v>
      </c>
      <c r="R121" s="50">
        <f t="shared" ca="1" si="43"/>
        <v>61</v>
      </c>
      <c r="S121" s="50">
        <f t="shared" ca="1" si="52"/>
        <v>6</v>
      </c>
      <c r="T121" s="50">
        <f t="shared" ca="1" si="53"/>
        <v>200.84938758547094</v>
      </c>
      <c r="U121" s="27">
        <f t="shared" ca="1" si="54"/>
        <v>0.68949795861823648</v>
      </c>
      <c r="V121" s="50">
        <f t="shared" ca="1" si="51"/>
        <v>3</v>
      </c>
      <c r="W121" s="50" t="str">
        <f t="shared" ca="1" si="55"/>
        <v>-</v>
      </c>
      <c r="X121" s="50">
        <f t="shared" ca="1" si="44"/>
        <v>38</v>
      </c>
      <c r="Y121" s="50">
        <f t="shared" ca="1" si="45"/>
        <v>1</v>
      </c>
      <c r="Z121" s="18">
        <f t="shared" ca="1" si="46"/>
        <v>400</v>
      </c>
      <c r="AA121" s="50">
        <f t="shared" ca="1" si="47"/>
        <v>2</v>
      </c>
      <c r="AB121" s="50" t="str">
        <f t="shared" ca="1" si="56"/>
        <v>-</v>
      </c>
      <c r="AC121" s="18" t="str">
        <f t="shared" ca="1" si="57"/>
        <v>0</v>
      </c>
      <c r="AD121" s="18">
        <f t="shared" ca="1" si="58"/>
        <v>120</v>
      </c>
      <c r="AE121" s="18">
        <f t="shared" si="48"/>
        <v>120</v>
      </c>
      <c r="AF121" s="18">
        <f t="shared" ca="1" si="59"/>
        <v>45</v>
      </c>
      <c r="AG121" s="18">
        <f t="shared" ca="1" si="39"/>
        <v>285</v>
      </c>
    </row>
    <row r="122" spans="13:33" x14ac:dyDescent="0.3">
      <c r="M122" s="49">
        <v>121</v>
      </c>
      <c r="N122" s="50">
        <f t="shared" ca="1" si="40"/>
        <v>28</v>
      </c>
      <c r="O122" s="50">
        <f t="shared" ca="1" si="41"/>
        <v>5</v>
      </c>
      <c r="P122" s="50">
        <f t="shared" ca="1" si="50"/>
        <v>200.84938758547094</v>
      </c>
      <c r="Q122" s="50">
        <f t="shared" ca="1" si="42"/>
        <v>205.84938758547094</v>
      </c>
      <c r="R122" s="50">
        <f t="shared" ca="1" si="43"/>
        <v>82</v>
      </c>
      <c r="S122" s="50">
        <f t="shared" ca="1" si="52"/>
        <v>8</v>
      </c>
      <c r="T122" s="50">
        <f t="shared" ca="1" si="53"/>
        <v>197.84938758547094</v>
      </c>
      <c r="U122" s="27">
        <f t="shared" ca="1" si="54"/>
        <v>0.68616462528490307</v>
      </c>
      <c r="V122" s="50">
        <f t="shared" ca="1" si="51"/>
        <v>3</v>
      </c>
      <c r="W122" s="50" t="str">
        <f t="shared" ca="1" si="55"/>
        <v>-</v>
      </c>
      <c r="X122" s="50">
        <f t="shared" ca="1" si="44"/>
        <v>17</v>
      </c>
      <c r="Y122" s="50">
        <f t="shared" ca="1" si="45"/>
        <v>2</v>
      </c>
      <c r="Z122" s="18">
        <f t="shared" ca="1" si="46"/>
        <v>800</v>
      </c>
      <c r="AA122" s="50">
        <f t="shared" ca="1" si="47"/>
        <v>45</v>
      </c>
      <c r="AB122" s="50" t="str">
        <f t="shared" ca="1" si="56"/>
        <v>-</v>
      </c>
      <c r="AC122" s="18" t="str">
        <f t="shared" ca="1" si="57"/>
        <v>0</v>
      </c>
      <c r="AD122" s="18">
        <f t="shared" ca="1" si="58"/>
        <v>240</v>
      </c>
      <c r="AE122" s="18">
        <f t="shared" si="48"/>
        <v>120</v>
      </c>
      <c r="AF122" s="18">
        <f t="shared" ca="1" si="59"/>
        <v>45</v>
      </c>
      <c r="AG122" s="18">
        <f t="shared" ca="1" si="39"/>
        <v>405</v>
      </c>
    </row>
    <row r="123" spans="13:33" x14ac:dyDescent="0.3">
      <c r="M123" s="49">
        <v>122</v>
      </c>
      <c r="N123" s="50">
        <f t="shared" ca="1" si="40"/>
        <v>77</v>
      </c>
      <c r="O123" s="50">
        <f t="shared" ca="1" si="41"/>
        <v>12</v>
      </c>
      <c r="P123" s="50">
        <f t="shared" ca="1" si="50"/>
        <v>197.84938758547094</v>
      </c>
      <c r="Q123" s="50">
        <f t="shared" ca="1" si="42"/>
        <v>209.84938758547094</v>
      </c>
      <c r="R123" s="50">
        <f t="shared" ca="1" si="43"/>
        <v>18</v>
      </c>
      <c r="S123" s="50">
        <f t="shared" ca="1" si="52"/>
        <v>4</v>
      </c>
      <c r="T123" s="50">
        <f t="shared" ca="1" si="53"/>
        <v>205.84938758547094</v>
      </c>
      <c r="U123" s="27">
        <f t="shared" ca="1" si="54"/>
        <v>0.69949795861823649</v>
      </c>
      <c r="V123" s="50">
        <f t="shared" ca="1" si="51"/>
        <v>3</v>
      </c>
      <c r="W123" s="50" t="str">
        <f t="shared" ca="1" si="55"/>
        <v>-</v>
      </c>
      <c r="X123" s="50">
        <f t="shared" ca="1" si="44"/>
        <v>72</v>
      </c>
      <c r="Y123" s="50">
        <f t="shared" ca="1" si="45"/>
        <v>2</v>
      </c>
      <c r="Z123" s="18">
        <f t="shared" ca="1" si="46"/>
        <v>800</v>
      </c>
      <c r="AA123" s="50">
        <f t="shared" ca="1" si="47"/>
        <v>98</v>
      </c>
      <c r="AB123" s="50" t="str">
        <f t="shared" ca="1" si="56"/>
        <v>-</v>
      </c>
      <c r="AC123" s="18" t="str">
        <f t="shared" ca="1" si="57"/>
        <v>0</v>
      </c>
      <c r="AD123" s="18">
        <f t="shared" ca="1" si="58"/>
        <v>240</v>
      </c>
      <c r="AE123" s="18">
        <f t="shared" si="48"/>
        <v>120</v>
      </c>
      <c r="AF123" s="18">
        <f t="shared" ca="1" si="59"/>
        <v>45</v>
      </c>
      <c r="AG123" s="18">
        <f t="shared" ca="1" si="39"/>
        <v>405</v>
      </c>
    </row>
    <row r="124" spans="13:33" x14ac:dyDescent="0.3">
      <c r="M124" s="49">
        <v>123</v>
      </c>
      <c r="N124" s="50">
        <f t="shared" ca="1" si="40"/>
        <v>35</v>
      </c>
      <c r="O124" s="50">
        <f t="shared" ca="1" si="41"/>
        <v>5</v>
      </c>
      <c r="P124" s="50">
        <f t="shared" ca="1" si="50"/>
        <v>205.84938758547094</v>
      </c>
      <c r="Q124" s="50">
        <f t="shared" ca="1" si="42"/>
        <v>210.84938758547094</v>
      </c>
      <c r="R124" s="50">
        <f t="shared" ca="1" si="43"/>
        <v>78</v>
      </c>
      <c r="S124" s="50">
        <f t="shared" ca="1" si="52"/>
        <v>8</v>
      </c>
      <c r="T124" s="50">
        <f t="shared" ca="1" si="53"/>
        <v>202.84938758547094</v>
      </c>
      <c r="U124" s="27">
        <f t="shared" ca="1" si="54"/>
        <v>0.70283129195156979</v>
      </c>
      <c r="V124" s="50">
        <f t="shared" ca="1" si="51"/>
        <v>3</v>
      </c>
      <c r="W124" s="50" t="str">
        <f t="shared" ca="1" si="55"/>
        <v>-</v>
      </c>
      <c r="X124" s="50">
        <f t="shared" ca="1" si="44"/>
        <v>65</v>
      </c>
      <c r="Y124" s="50">
        <f t="shared" ca="1" si="45"/>
        <v>3</v>
      </c>
      <c r="Z124" s="18">
        <f t="shared" ca="1" si="46"/>
        <v>1200</v>
      </c>
      <c r="AA124" s="50">
        <f t="shared" ca="1" si="47"/>
        <v>96</v>
      </c>
      <c r="AB124" s="50" t="str">
        <f t="shared" ca="1" si="56"/>
        <v>-</v>
      </c>
      <c r="AC124" s="18" t="str">
        <f t="shared" ca="1" si="57"/>
        <v>0</v>
      </c>
      <c r="AD124" s="18">
        <f t="shared" ca="1" si="58"/>
        <v>360</v>
      </c>
      <c r="AE124" s="18">
        <f t="shared" si="48"/>
        <v>120</v>
      </c>
      <c r="AF124" s="18">
        <f t="shared" ca="1" si="59"/>
        <v>45</v>
      </c>
      <c r="AG124" s="18">
        <f t="shared" ca="1" si="39"/>
        <v>525</v>
      </c>
    </row>
    <row r="125" spans="13:33" x14ac:dyDescent="0.3">
      <c r="M125" s="49">
        <v>124</v>
      </c>
      <c r="N125" s="50">
        <f t="shared" ca="1" si="40"/>
        <v>65</v>
      </c>
      <c r="O125" s="50">
        <f t="shared" ca="1" si="41"/>
        <v>8</v>
      </c>
      <c r="P125" s="50">
        <f t="shared" ca="1" si="50"/>
        <v>202.84938758547094</v>
      </c>
      <c r="Q125" s="50">
        <f t="shared" ca="1" si="42"/>
        <v>210.84938758547094</v>
      </c>
      <c r="R125" s="50">
        <f t="shared" ca="1" si="43"/>
        <v>48</v>
      </c>
      <c r="S125" s="50">
        <f t="shared" ca="1" si="52"/>
        <v>6</v>
      </c>
      <c r="T125" s="50">
        <f t="shared" ca="1" si="53"/>
        <v>204.84938758547094</v>
      </c>
      <c r="U125" s="27">
        <f t="shared" ca="1" si="54"/>
        <v>0.70283129195156979</v>
      </c>
      <c r="V125" s="50">
        <f t="shared" ca="1" si="51"/>
        <v>3</v>
      </c>
      <c r="W125" s="50" t="str">
        <f t="shared" ca="1" si="55"/>
        <v>-</v>
      </c>
      <c r="X125" s="50">
        <f t="shared" ca="1" si="44"/>
        <v>39</v>
      </c>
      <c r="Y125" s="50">
        <f t="shared" ca="1" si="45"/>
        <v>1</v>
      </c>
      <c r="Z125" s="18">
        <f t="shared" ca="1" si="46"/>
        <v>400</v>
      </c>
      <c r="AA125" s="50">
        <f t="shared" ca="1" si="47"/>
        <v>36</v>
      </c>
      <c r="AB125" s="50" t="str">
        <f t="shared" ca="1" si="56"/>
        <v>-</v>
      </c>
      <c r="AC125" s="18" t="str">
        <f t="shared" ca="1" si="57"/>
        <v>0</v>
      </c>
      <c r="AD125" s="18">
        <f t="shared" ca="1" si="58"/>
        <v>120</v>
      </c>
      <c r="AE125" s="18">
        <f t="shared" si="48"/>
        <v>120</v>
      </c>
      <c r="AF125" s="18">
        <f t="shared" ca="1" si="59"/>
        <v>45</v>
      </c>
      <c r="AG125" s="18">
        <f t="shared" ca="1" si="39"/>
        <v>285</v>
      </c>
    </row>
    <row r="126" spans="13:33" x14ac:dyDescent="0.3">
      <c r="M126" s="49">
        <v>125</v>
      </c>
      <c r="N126" s="50">
        <f t="shared" ca="1" si="40"/>
        <v>63</v>
      </c>
      <c r="O126" s="50">
        <f t="shared" ca="1" si="41"/>
        <v>8</v>
      </c>
      <c r="P126" s="50">
        <f t="shared" ca="1" si="50"/>
        <v>204.84938758547094</v>
      </c>
      <c r="Q126" s="50">
        <f t="shared" ca="1" si="42"/>
        <v>212.84938758547094</v>
      </c>
      <c r="R126" s="50">
        <f t="shared" ca="1" si="43"/>
        <v>25</v>
      </c>
      <c r="S126" s="50">
        <f t="shared" ca="1" si="52"/>
        <v>4</v>
      </c>
      <c r="T126" s="50">
        <f t="shared" ca="1" si="53"/>
        <v>208.84938758547094</v>
      </c>
      <c r="U126" s="27">
        <f t="shared" ca="1" si="54"/>
        <v>0.7094979586182365</v>
      </c>
      <c r="V126" s="50">
        <f t="shared" ca="1" si="51"/>
        <v>3</v>
      </c>
      <c r="W126" s="50" t="str">
        <f t="shared" ca="1" si="55"/>
        <v>-</v>
      </c>
      <c r="X126" s="50">
        <f t="shared" ca="1" si="44"/>
        <v>90</v>
      </c>
      <c r="Y126" s="50">
        <f t="shared" ca="1" si="45"/>
        <v>2</v>
      </c>
      <c r="Z126" s="18">
        <f t="shared" ca="1" si="46"/>
        <v>800</v>
      </c>
      <c r="AA126" s="50">
        <f t="shared" ca="1" si="47"/>
        <v>39</v>
      </c>
      <c r="AB126" s="50" t="str">
        <f t="shared" ca="1" si="56"/>
        <v>-</v>
      </c>
      <c r="AC126" s="18" t="str">
        <f t="shared" ca="1" si="57"/>
        <v>0</v>
      </c>
      <c r="AD126" s="18">
        <f t="shared" ca="1" si="58"/>
        <v>240</v>
      </c>
      <c r="AE126" s="18">
        <f t="shared" si="48"/>
        <v>120</v>
      </c>
      <c r="AF126" s="18">
        <f t="shared" ca="1" si="59"/>
        <v>45</v>
      </c>
      <c r="AG126" s="18">
        <f t="shared" ca="1" si="39"/>
        <v>405</v>
      </c>
    </row>
    <row r="127" spans="13:33" x14ac:dyDescent="0.3">
      <c r="M127" s="49">
        <v>126</v>
      </c>
      <c r="N127" s="50">
        <f t="shared" ca="1" si="40"/>
        <v>16</v>
      </c>
      <c r="O127" s="50">
        <f t="shared" ca="1" si="41"/>
        <v>5</v>
      </c>
      <c r="P127" s="50">
        <f t="shared" ca="1" si="50"/>
        <v>208.84938758547094</v>
      </c>
      <c r="Q127" s="50">
        <f t="shared" ca="1" si="42"/>
        <v>213.84938758547094</v>
      </c>
      <c r="R127" s="50">
        <f t="shared" ca="1" si="43"/>
        <v>22</v>
      </c>
      <c r="S127" s="50">
        <f t="shared" ca="1" si="52"/>
        <v>4</v>
      </c>
      <c r="T127" s="50">
        <f t="shared" ca="1" si="53"/>
        <v>209.84938758547094</v>
      </c>
      <c r="U127" s="27">
        <f t="shared" ca="1" si="54"/>
        <v>0.7128312919515698</v>
      </c>
      <c r="V127" s="50">
        <f t="shared" ca="1" si="51"/>
        <v>3</v>
      </c>
      <c r="W127" s="50" t="str">
        <f t="shared" ca="1" si="55"/>
        <v>-</v>
      </c>
      <c r="X127" s="50">
        <f t="shared" ca="1" si="44"/>
        <v>5</v>
      </c>
      <c r="Y127" s="50">
        <f t="shared" ca="1" si="45"/>
        <v>1</v>
      </c>
      <c r="Z127" s="18">
        <f t="shared" ca="1" si="46"/>
        <v>400</v>
      </c>
      <c r="AA127" s="50">
        <f t="shared" ca="1" si="47"/>
        <v>89</v>
      </c>
      <c r="AB127" s="50" t="str">
        <f t="shared" ca="1" si="56"/>
        <v>-</v>
      </c>
      <c r="AC127" s="18" t="str">
        <f t="shared" ca="1" si="57"/>
        <v>0</v>
      </c>
      <c r="AD127" s="18">
        <f t="shared" ca="1" si="58"/>
        <v>120</v>
      </c>
      <c r="AE127" s="18">
        <f t="shared" si="48"/>
        <v>120</v>
      </c>
      <c r="AF127" s="18">
        <f t="shared" ca="1" si="59"/>
        <v>45</v>
      </c>
      <c r="AG127" s="18">
        <f t="shared" ca="1" si="39"/>
        <v>285</v>
      </c>
    </row>
    <row r="128" spans="13:33" x14ac:dyDescent="0.3">
      <c r="M128" s="49">
        <v>127</v>
      </c>
      <c r="N128" s="50">
        <f t="shared" ca="1" si="40"/>
        <v>21</v>
      </c>
      <c r="O128" s="50">
        <f t="shared" ca="1" si="41"/>
        <v>5</v>
      </c>
      <c r="P128" s="50">
        <f t="shared" ca="1" si="50"/>
        <v>209.84938758547094</v>
      </c>
      <c r="Q128" s="50">
        <f t="shared" ca="1" si="42"/>
        <v>214.84938758547094</v>
      </c>
      <c r="R128" s="50">
        <f t="shared" ca="1" si="43"/>
        <v>35</v>
      </c>
      <c r="S128" s="50">
        <f t="shared" ca="1" si="52"/>
        <v>4</v>
      </c>
      <c r="T128" s="50">
        <f t="shared" ca="1" si="53"/>
        <v>210.84938758547094</v>
      </c>
      <c r="U128" s="27">
        <f t="shared" ca="1" si="54"/>
        <v>0.7161646252849031</v>
      </c>
      <c r="V128" s="50">
        <f t="shared" ca="1" si="51"/>
        <v>3</v>
      </c>
      <c r="W128" s="50" t="str">
        <f t="shared" ca="1" si="55"/>
        <v>-</v>
      </c>
      <c r="X128" s="50">
        <f t="shared" ca="1" si="44"/>
        <v>99</v>
      </c>
      <c r="Y128" s="50">
        <f t="shared" ca="1" si="45"/>
        <v>3</v>
      </c>
      <c r="Z128" s="18">
        <f t="shared" ca="1" si="46"/>
        <v>1200</v>
      </c>
      <c r="AA128" s="50">
        <f t="shared" ca="1" si="47"/>
        <v>39</v>
      </c>
      <c r="AB128" s="50" t="str">
        <f t="shared" ca="1" si="56"/>
        <v>-</v>
      </c>
      <c r="AC128" s="18" t="str">
        <f t="shared" ca="1" si="57"/>
        <v>0</v>
      </c>
      <c r="AD128" s="18">
        <f t="shared" ca="1" si="58"/>
        <v>360</v>
      </c>
      <c r="AE128" s="18">
        <f t="shared" si="48"/>
        <v>120</v>
      </c>
      <c r="AF128" s="18">
        <f t="shared" ca="1" si="59"/>
        <v>45</v>
      </c>
      <c r="AG128" s="18">
        <f t="shared" ca="1" si="39"/>
        <v>525</v>
      </c>
    </row>
    <row r="129" spans="13:33" x14ac:dyDescent="0.3">
      <c r="M129" s="49">
        <v>128</v>
      </c>
      <c r="N129" s="50">
        <f t="shared" ca="1" si="40"/>
        <v>3</v>
      </c>
      <c r="O129" s="50">
        <f t="shared" ca="1" si="41"/>
        <v>5</v>
      </c>
      <c r="P129" s="50">
        <f t="shared" ca="1" si="50"/>
        <v>210.84938758547094</v>
      </c>
      <c r="Q129" s="50">
        <f t="shared" ca="1" si="42"/>
        <v>215.84938758547094</v>
      </c>
      <c r="R129" s="50">
        <f t="shared" ca="1" si="43"/>
        <v>53</v>
      </c>
      <c r="S129" s="50">
        <f t="shared" ca="1" si="52"/>
        <v>6</v>
      </c>
      <c r="T129" s="50">
        <f t="shared" ca="1" si="53"/>
        <v>209.84938758547094</v>
      </c>
      <c r="U129" s="27">
        <f t="shared" ca="1" si="54"/>
        <v>0.7194979586182364</v>
      </c>
      <c r="V129" s="50">
        <f t="shared" ca="1" si="51"/>
        <v>3</v>
      </c>
      <c r="W129" s="50" t="str">
        <f t="shared" ca="1" si="55"/>
        <v>-</v>
      </c>
      <c r="X129" s="50">
        <f t="shared" ca="1" si="44"/>
        <v>7</v>
      </c>
      <c r="Y129" s="50">
        <f t="shared" ca="1" si="45"/>
        <v>1</v>
      </c>
      <c r="Z129" s="18">
        <f t="shared" ca="1" si="46"/>
        <v>400</v>
      </c>
      <c r="AA129" s="50">
        <f t="shared" ca="1" si="47"/>
        <v>67</v>
      </c>
      <c r="AB129" s="50" t="str">
        <f t="shared" ca="1" si="56"/>
        <v>-</v>
      </c>
      <c r="AC129" s="18" t="str">
        <f t="shared" ca="1" si="57"/>
        <v>0</v>
      </c>
      <c r="AD129" s="18">
        <f t="shared" ca="1" si="58"/>
        <v>120</v>
      </c>
      <c r="AE129" s="18">
        <f t="shared" si="48"/>
        <v>120</v>
      </c>
      <c r="AF129" s="18">
        <f t="shared" ca="1" si="59"/>
        <v>45</v>
      </c>
      <c r="AG129" s="18">
        <f t="shared" ca="1" si="39"/>
        <v>285</v>
      </c>
    </row>
    <row r="130" spans="13:33" x14ac:dyDescent="0.3">
      <c r="M130" s="49">
        <v>129</v>
      </c>
      <c r="N130" s="50">
        <f t="shared" ca="1" si="40"/>
        <v>28</v>
      </c>
      <c r="O130" s="50">
        <f t="shared" ca="1" si="41"/>
        <v>5</v>
      </c>
      <c r="P130" s="50">
        <f t="shared" ca="1" si="50"/>
        <v>209.84938758547094</v>
      </c>
      <c r="Q130" s="50">
        <f t="shared" ca="1" si="42"/>
        <v>214.84938758547094</v>
      </c>
      <c r="R130" s="50">
        <f t="shared" ca="1" si="43"/>
        <v>79</v>
      </c>
      <c r="S130" s="50">
        <f t="shared" ref="S130:S161" ca="1" si="60">MIN(Q130,LOOKUP(R130,$D$15:$E$18,$A$15:$A$18))</f>
        <v>8</v>
      </c>
      <c r="T130" s="50">
        <f t="shared" ref="T130:T161" ca="1" si="61">IF(W130&lt;&gt;"-",Q130-S130-W130,Q130-S130)</f>
        <v>206.84938758547094</v>
      </c>
      <c r="U130" s="27">
        <f t="shared" ref="U130:U161" ca="1" si="62">Q130/($J$2*V130)</f>
        <v>0.7161646252849031</v>
      </c>
      <c r="V130" s="50">
        <f t="shared" ca="1" si="51"/>
        <v>3</v>
      </c>
      <c r="W130" s="50" t="str">
        <f t="shared" ref="W130:W161" ca="1" si="63">IF(U130&gt;=$J$7,Q130*$J$6,"-")</f>
        <v>-</v>
      </c>
      <c r="X130" s="50">
        <f t="shared" ca="1" si="44"/>
        <v>80</v>
      </c>
      <c r="Y130" s="50">
        <f t="shared" ca="1" si="45"/>
        <v>3</v>
      </c>
      <c r="Z130" s="18">
        <f t="shared" ca="1" si="46"/>
        <v>1200</v>
      </c>
      <c r="AA130" s="50">
        <f t="shared" ca="1" si="47"/>
        <v>81</v>
      </c>
      <c r="AB130" s="50" t="str">
        <f t="shared" ref="AB130:AB161" ca="1" si="64">IF(W130&lt;&gt;"-",LOOKUP(AA130,$D$24:$E$29,$A$24:$A$29)*W130,"-")</f>
        <v>-</v>
      </c>
      <c r="AC130" s="18" t="str">
        <f t="shared" ref="AC130:AC161" ca="1" si="65">IF(AB130&lt;&gt;"-",AB130*$J$10,"0")</f>
        <v>0</v>
      </c>
      <c r="AD130" s="18">
        <f t="shared" ref="AD130:AD161" ca="1" si="66">Z130*$J$12</f>
        <v>360</v>
      </c>
      <c r="AE130" s="18">
        <f t="shared" si="48"/>
        <v>120</v>
      </c>
      <c r="AF130" s="18">
        <f t="shared" ca="1" si="59"/>
        <v>45</v>
      </c>
      <c r="AG130" s="18">
        <f t="shared" ref="AG130:AG181" ca="1" si="67">AC130+AE130+AF130+AD130</f>
        <v>525</v>
      </c>
    </row>
    <row r="131" spans="13:33" x14ac:dyDescent="0.3">
      <c r="M131" s="49">
        <v>130</v>
      </c>
      <c r="N131" s="50">
        <f t="shared" ref="N131:N181" ca="1" si="68">RANDBETWEEN(1,100)</f>
        <v>14</v>
      </c>
      <c r="O131" s="50">
        <f t="shared" ref="O131:O181" ca="1" si="69">LOOKUP(N131,$D$3:$E$8,$A$3:$A$8)</f>
        <v>5</v>
      </c>
      <c r="P131" s="50">
        <f t="shared" ca="1" si="50"/>
        <v>206.84938758547094</v>
      </c>
      <c r="Q131" s="50">
        <f t="shared" ref="Q131:Q181" ca="1" si="70">O131+P131</f>
        <v>211.84938758547094</v>
      </c>
      <c r="R131" s="50">
        <f t="shared" ref="R131:R181" ca="1" si="71">RANDBETWEEN(1,100)</f>
        <v>84</v>
      </c>
      <c r="S131" s="50">
        <f t="shared" ca="1" si="60"/>
        <v>8</v>
      </c>
      <c r="T131" s="50">
        <f t="shared" ca="1" si="61"/>
        <v>203.84938758547094</v>
      </c>
      <c r="U131" s="27">
        <f t="shared" ca="1" si="62"/>
        <v>0.70616462528490309</v>
      </c>
      <c r="V131" s="50">
        <f t="shared" ca="1" si="51"/>
        <v>3</v>
      </c>
      <c r="W131" s="50" t="str">
        <f t="shared" ca="1" si="63"/>
        <v>-</v>
      </c>
      <c r="X131" s="50">
        <f t="shared" ref="X131:X181" ca="1" si="72">RANDBETWEEN(1,100)</f>
        <v>44</v>
      </c>
      <c r="Y131" s="50">
        <f t="shared" ref="Y131:Y181" ca="1" si="73">ROUND(LOOKUP(X131,$D$24:$E$29,$A$24:$A$29)*S131, 0)</f>
        <v>2</v>
      </c>
      <c r="Z131" s="18">
        <f t="shared" ref="Z131:Z181" ca="1" si="74">Y131*$J$10</f>
        <v>800</v>
      </c>
      <c r="AA131" s="50">
        <f t="shared" ref="AA131:AA181" ca="1" si="75">RANDBETWEEN(1,100)</f>
        <v>6</v>
      </c>
      <c r="AB131" s="50" t="str">
        <f t="shared" ca="1" si="64"/>
        <v>-</v>
      </c>
      <c r="AC131" s="18" t="str">
        <f t="shared" ca="1" si="65"/>
        <v>0</v>
      </c>
      <c r="AD131" s="18">
        <f t="shared" ca="1" si="66"/>
        <v>240</v>
      </c>
      <c r="AE131" s="18">
        <f t="shared" ref="AE131:AE181" si="76">$J$11</f>
        <v>120</v>
      </c>
      <c r="AF131" s="18">
        <f t="shared" ref="AF131:AF162" ca="1" si="77">IF(V131&gt;V130,($J$9*V131)+$J$8*(V131-V130),$J$9*V131)</f>
        <v>45</v>
      </c>
      <c r="AG131" s="18">
        <f t="shared" ca="1" si="67"/>
        <v>405</v>
      </c>
    </row>
    <row r="132" spans="13:33" x14ac:dyDescent="0.3">
      <c r="M132" s="49">
        <v>131</v>
      </c>
      <c r="N132" s="50">
        <f t="shared" ca="1" si="68"/>
        <v>76</v>
      </c>
      <c r="O132" s="50">
        <f t="shared" ca="1" si="69"/>
        <v>12</v>
      </c>
      <c r="P132" s="50">
        <f t="shared" ref="P132:P181" ca="1" si="78">T131</f>
        <v>203.84938758547094</v>
      </c>
      <c r="Q132" s="50">
        <f t="shared" ca="1" si="70"/>
        <v>215.84938758547094</v>
      </c>
      <c r="R132" s="50">
        <f t="shared" ca="1" si="71"/>
        <v>70</v>
      </c>
      <c r="S132" s="50">
        <f t="shared" ca="1" si="60"/>
        <v>6</v>
      </c>
      <c r="T132" s="50">
        <f t="shared" ca="1" si="61"/>
        <v>209.84938758547094</v>
      </c>
      <c r="U132" s="27">
        <f t="shared" ca="1" si="62"/>
        <v>0.7194979586182364</v>
      </c>
      <c r="V132" s="50">
        <f t="shared" ref="V132:V181" ca="1" si="79">IF(U131&gt;$J$4,V131+1,IF(AND(U131&lt;$J$5,V131&lt;&gt;1),V131-1,V131))</f>
        <v>3</v>
      </c>
      <c r="W132" s="50" t="str">
        <f t="shared" ca="1" si="63"/>
        <v>-</v>
      </c>
      <c r="X132" s="50">
        <f t="shared" ca="1" si="72"/>
        <v>85</v>
      </c>
      <c r="Y132" s="50">
        <f t="shared" ca="1" si="73"/>
        <v>3</v>
      </c>
      <c r="Z132" s="18">
        <f t="shared" ca="1" si="74"/>
        <v>1200</v>
      </c>
      <c r="AA132" s="50">
        <f t="shared" ca="1" si="75"/>
        <v>84</v>
      </c>
      <c r="AB132" s="50" t="str">
        <f t="shared" ca="1" si="64"/>
        <v>-</v>
      </c>
      <c r="AC132" s="18" t="str">
        <f t="shared" ca="1" si="65"/>
        <v>0</v>
      </c>
      <c r="AD132" s="18">
        <f t="shared" ca="1" si="66"/>
        <v>360</v>
      </c>
      <c r="AE132" s="18">
        <f t="shared" si="76"/>
        <v>120</v>
      </c>
      <c r="AF132" s="18">
        <f t="shared" ca="1" si="77"/>
        <v>45</v>
      </c>
      <c r="AG132" s="18">
        <f t="shared" ca="1" si="67"/>
        <v>525</v>
      </c>
    </row>
    <row r="133" spans="13:33" x14ac:dyDescent="0.3">
      <c r="M133" s="49">
        <v>132</v>
      </c>
      <c r="N133" s="50">
        <f t="shared" ca="1" si="68"/>
        <v>18</v>
      </c>
      <c r="O133" s="50">
        <f t="shared" ca="1" si="69"/>
        <v>5</v>
      </c>
      <c r="P133" s="50">
        <f t="shared" ca="1" si="78"/>
        <v>209.84938758547094</v>
      </c>
      <c r="Q133" s="50">
        <f t="shared" ca="1" si="70"/>
        <v>214.84938758547094</v>
      </c>
      <c r="R133" s="50">
        <f t="shared" ca="1" si="71"/>
        <v>45</v>
      </c>
      <c r="S133" s="50">
        <f t="shared" ca="1" si="60"/>
        <v>4</v>
      </c>
      <c r="T133" s="50">
        <f t="shared" ca="1" si="61"/>
        <v>210.84938758547094</v>
      </c>
      <c r="U133" s="27">
        <f t="shared" ca="1" si="62"/>
        <v>0.7161646252849031</v>
      </c>
      <c r="V133" s="50">
        <f t="shared" ca="1" si="79"/>
        <v>3</v>
      </c>
      <c r="W133" s="50" t="str">
        <f t="shared" ca="1" si="63"/>
        <v>-</v>
      </c>
      <c r="X133" s="50">
        <f t="shared" ca="1" si="72"/>
        <v>43</v>
      </c>
      <c r="Y133" s="50">
        <f t="shared" ca="1" si="73"/>
        <v>1</v>
      </c>
      <c r="Z133" s="18">
        <f t="shared" ca="1" si="74"/>
        <v>400</v>
      </c>
      <c r="AA133" s="50">
        <f t="shared" ca="1" si="75"/>
        <v>43</v>
      </c>
      <c r="AB133" s="50" t="str">
        <f t="shared" ca="1" si="64"/>
        <v>-</v>
      </c>
      <c r="AC133" s="18" t="str">
        <f t="shared" ca="1" si="65"/>
        <v>0</v>
      </c>
      <c r="AD133" s="18">
        <f t="shared" ca="1" si="66"/>
        <v>120</v>
      </c>
      <c r="AE133" s="18">
        <f t="shared" si="76"/>
        <v>120</v>
      </c>
      <c r="AF133" s="18">
        <f t="shared" ca="1" si="77"/>
        <v>45</v>
      </c>
      <c r="AG133" s="18">
        <f t="shared" ca="1" si="67"/>
        <v>285</v>
      </c>
    </row>
    <row r="134" spans="13:33" x14ac:dyDescent="0.3">
      <c r="M134" s="49">
        <v>133</v>
      </c>
      <c r="N134" s="50">
        <f t="shared" ca="1" si="68"/>
        <v>64</v>
      </c>
      <c r="O134" s="50">
        <f t="shared" ca="1" si="69"/>
        <v>8</v>
      </c>
      <c r="P134" s="50">
        <f t="shared" ca="1" si="78"/>
        <v>210.84938758547094</v>
      </c>
      <c r="Q134" s="50">
        <f t="shared" ca="1" si="70"/>
        <v>218.84938758547094</v>
      </c>
      <c r="R134" s="50">
        <f t="shared" ca="1" si="71"/>
        <v>69</v>
      </c>
      <c r="S134" s="50">
        <f t="shared" ca="1" si="60"/>
        <v>6</v>
      </c>
      <c r="T134" s="50">
        <f t="shared" ca="1" si="61"/>
        <v>212.84938758547094</v>
      </c>
      <c r="U134" s="27">
        <f t="shared" ca="1" si="62"/>
        <v>0.72949795861823641</v>
      </c>
      <c r="V134" s="50">
        <f t="shared" ca="1" si="79"/>
        <v>3</v>
      </c>
      <c r="W134" s="50" t="str">
        <f t="shared" ca="1" si="63"/>
        <v>-</v>
      </c>
      <c r="X134" s="50">
        <f t="shared" ca="1" si="72"/>
        <v>63</v>
      </c>
      <c r="Y134" s="50">
        <f t="shared" ca="1" si="73"/>
        <v>2</v>
      </c>
      <c r="Z134" s="18">
        <f t="shared" ca="1" si="74"/>
        <v>800</v>
      </c>
      <c r="AA134" s="50">
        <f t="shared" ca="1" si="75"/>
        <v>78</v>
      </c>
      <c r="AB134" s="50" t="str">
        <f t="shared" ca="1" si="64"/>
        <v>-</v>
      </c>
      <c r="AC134" s="18" t="str">
        <f t="shared" ca="1" si="65"/>
        <v>0</v>
      </c>
      <c r="AD134" s="18">
        <f t="shared" ca="1" si="66"/>
        <v>240</v>
      </c>
      <c r="AE134" s="18">
        <f t="shared" si="76"/>
        <v>120</v>
      </c>
      <c r="AF134" s="18">
        <f t="shared" ca="1" si="77"/>
        <v>45</v>
      </c>
      <c r="AG134" s="18">
        <f t="shared" ca="1" si="67"/>
        <v>405</v>
      </c>
    </row>
    <row r="135" spans="13:33" x14ac:dyDescent="0.3">
      <c r="M135" s="49">
        <v>134</v>
      </c>
      <c r="N135" s="50">
        <f t="shared" ca="1" si="68"/>
        <v>66</v>
      </c>
      <c r="O135" s="50">
        <f t="shared" ca="1" si="69"/>
        <v>8</v>
      </c>
      <c r="P135" s="50">
        <f t="shared" ca="1" si="78"/>
        <v>212.84938758547094</v>
      </c>
      <c r="Q135" s="50">
        <f t="shared" ca="1" si="70"/>
        <v>220.84938758547094</v>
      </c>
      <c r="R135" s="50">
        <f t="shared" ca="1" si="71"/>
        <v>80</v>
      </c>
      <c r="S135" s="50">
        <f t="shared" ca="1" si="60"/>
        <v>8</v>
      </c>
      <c r="T135" s="50">
        <f t="shared" ca="1" si="61"/>
        <v>212.84938758547094</v>
      </c>
      <c r="U135" s="27">
        <f t="shared" ca="1" si="62"/>
        <v>0.73616462528490312</v>
      </c>
      <c r="V135" s="50">
        <f t="shared" ca="1" si="79"/>
        <v>3</v>
      </c>
      <c r="W135" s="50" t="str">
        <f t="shared" ca="1" si="63"/>
        <v>-</v>
      </c>
      <c r="X135" s="50">
        <f t="shared" ca="1" si="72"/>
        <v>87</v>
      </c>
      <c r="Y135" s="50">
        <f t="shared" ca="1" si="73"/>
        <v>4</v>
      </c>
      <c r="Z135" s="18">
        <f t="shared" ca="1" si="74"/>
        <v>1600</v>
      </c>
      <c r="AA135" s="50">
        <f t="shared" ca="1" si="75"/>
        <v>41</v>
      </c>
      <c r="AB135" s="50" t="str">
        <f t="shared" ca="1" si="64"/>
        <v>-</v>
      </c>
      <c r="AC135" s="18" t="str">
        <f t="shared" ca="1" si="65"/>
        <v>0</v>
      </c>
      <c r="AD135" s="18">
        <f t="shared" ca="1" si="66"/>
        <v>480</v>
      </c>
      <c r="AE135" s="18">
        <f t="shared" si="76"/>
        <v>120</v>
      </c>
      <c r="AF135" s="18">
        <f t="shared" ca="1" si="77"/>
        <v>45</v>
      </c>
      <c r="AG135" s="18">
        <f t="shared" ca="1" si="67"/>
        <v>645</v>
      </c>
    </row>
    <row r="136" spans="13:33" x14ac:dyDescent="0.3">
      <c r="M136" s="49">
        <v>135</v>
      </c>
      <c r="N136" s="50">
        <f t="shared" ca="1" si="68"/>
        <v>66</v>
      </c>
      <c r="O136" s="50">
        <f t="shared" ca="1" si="69"/>
        <v>8</v>
      </c>
      <c r="P136" s="50">
        <f t="shared" ca="1" si="78"/>
        <v>212.84938758547094</v>
      </c>
      <c r="Q136" s="50">
        <f t="shared" ca="1" si="70"/>
        <v>220.84938758547094</v>
      </c>
      <c r="R136" s="50">
        <f t="shared" ca="1" si="71"/>
        <v>25</v>
      </c>
      <c r="S136" s="50">
        <f t="shared" ca="1" si="60"/>
        <v>4</v>
      </c>
      <c r="T136" s="50">
        <f t="shared" ca="1" si="61"/>
        <v>216.84938758547094</v>
      </c>
      <c r="U136" s="27">
        <f t="shared" ca="1" si="62"/>
        <v>0.73616462528490312</v>
      </c>
      <c r="V136" s="50">
        <f t="shared" ca="1" si="79"/>
        <v>3</v>
      </c>
      <c r="W136" s="50" t="str">
        <f t="shared" ca="1" si="63"/>
        <v>-</v>
      </c>
      <c r="X136" s="50">
        <f t="shared" ca="1" si="72"/>
        <v>37</v>
      </c>
      <c r="Y136" s="50">
        <f t="shared" ca="1" si="73"/>
        <v>1</v>
      </c>
      <c r="Z136" s="18">
        <f t="shared" ca="1" si="74"/>
        <v>400</v>
      </c>
      <c r="AA136" s="50">
        <f t="shared" ca="1" si="75"/>
        <v>45</v>
      </c>
      <c r="AB136" s="50" t="str">
        <f t="shared" ca="1" si="64"/>
        <v>-</v>
      </c>
      <c r="AC136" s="18" t="str">
        <f t="shared" ca="1" si="65"/>
        <v>0</v>
      </c>
      <c r="AD136" s="18">
        <f t="shared" ca="1" si="66"/>
        <v>120</v>
      </c>
      <c r="AE136" s="18">
        <f t="shared" si="76"/>
        <v>120</v>
      </c>
      <c r="AF136" s="18">
        <f t="shared" ca="1" si="77"/>
        <v>45</v>
      </c>
      <c r="AG136" s="18">
        <f t="shared" ca="1" si="67"/>
        <v>285</v>
      </c>
    </row>
    <row r="137" spans="13:33" x14ac:dyDescent="0.3">
      <c r="M137" s="49">
        <v>136</v>
      </c>
      <c r="N137" s="50">
        <f t="shared" ca="1" si="68"/>
        <v>39</v>
      </c>
      <c r="O137" s="50">
        <f t="shared" ca="1" si="69"/>
        <v>5</v>
      </c>
      <c r="P137" s="50">
        <f t="shared" ca="1" si="78"/>
        <v>216.84938758547094</v>
      </c>
      <c r="Q137" s="50">
        <f t="shared" ca="1" si="70"/>
        <v>221.84938758547094</v>
      </c>
      <c r="R137" s="50">
        <f t="shared" ca="1" si="71"/>
        <v>22</v>
      </c>
      <c r="S137" s="50">
        <f t="shared" ca="1" si="60"/>
        <v>4</v>
      </c>
      <c r="T137" s="50">
        <f t="shared" ca="1" si="61"/>
        <v>217.84938758547094</v>
      </c>
      <c r="U137" s="27">
        <f t="shared" ca="1" si="62"/>
        <v>0.73949795861823642</v>
      </c>
      <c r="V137" s="50">
        <f t="shared" ca="1" si="79"/>
        <v>3</v>
      </c>
      <c r="W137" s="50" t="str">
        <f t="shared" ca="1" si="63"/>
        <v>-</v>
      </c>
      <c r="X137" s="50">
        <f t="shared" ca="1" si="72"/>
        <v>9</v>
      </c>
      <c r="Y137" s="50">
        <f t="shared" ca="1" si="73"/>
        <v>1</v>
      </c>
      <c r="Z137" s="18">
        <f t="shared" ca="1" si="74"/>
        <v>400</v>
      </c>
      <c r="AA137" s="50">
        <f t="shared" ca="1" si="75"/>
        <v>56</v>
      </c>
      <c r="AB137" s="50" t="str">
        <f t="shared" ca="1" si="64"/>
        <v>-</v>
      </c>
      <c r="AC137" s="18" t="str">
        <f t="shared" ca="1" si="65"/>
        <v>0</v>
      </c>
      <c r="AD137" s="18">
        <f t="shared" ca="1" si="66"/>
        <v>120</v>
      </c>
      <c r="AE137" s="18">
        <f t="shared" si="76"/>
        <v>120</v>
      </c>
      <c r="AF137" s="18">
        <f t="shared" ca="1" si="77"/>
        <v>45</v>
      </c>
      <c r="AG137" s="18">
        <f t="shared" ca="1" si="67"/>
        <v>285</v>
      </c>
    </row>
    <row r="138" spans="13:33" x14ac:dyDescent="0.3">
      <c r="M138" s="49">
        <v>137</v>
      </c>
      <c r="N138" s="50">
        <f t="shared" ca="1" si="68"/>
        <v>53</v>
      </c>
      <c r="O138" s="50">
        <f t="shared" ca="1" si="69"/>
        <v>8</v>
      </c>
      <c r="P138" s="50">
        <f t="shared" ca="1" si="78"/>
        <v>217.84938758547094</v>
      </c>
      <c r="Q138" s="50">
        <f t="shared" ca="1" si="70"/>
        <v>225.84938758547094</v>
      </c>
      <c r="R138" s="50">
        <f t="shared" ca="1" si="71"/>
        <v>74</v>
      </c>
      <c r="S138" s="50">
        <f t="shared" ca="1" si="60"/>
        <v>6</v>
      </c>
      <c r="T138" s="50">
        <f t="shared" ca="1" si="61"/>
        <v>197.26444882692385</v>
      </c>
      <c r="U138" s="27">
        <f t="shared" ca="1" si="62"/>
        <v>0.75283129195156984</v>
      </c>
      <c r="V138" s="50">
        <f t="shared" ca="1" si="79"/>
        <v>3</v>
      </c>
      <c r="W138" s="50">
        <f t="shared" ca="1" si="63"/>
        <v>22.584938758547096</v>
      </c>
      <c r="X138" s="50">
        <f t="shared" ca="1" si="72"/>
        <v>82</v>
      </c>
      <c r="Y138" s="50">
        <f t="shared" ca="1" si="73"/>
        <v>3</v>
      </c>
      <c r="Z138" s="18">
        <f t="shared" ca="1" si="74"/>
        <v>1200</v>
      </c>
      <c r="AA138" s="50">
        <f t="shared" ca="1" si="75"/>
        <v>13</v>
      </c>
      <c r="AB138" s="50">
        <f t="shared" ca="1" si="64"/>
        <v>4.5169877517094195</v>
      </c>
      <c r="AC138" s="18">
        <f t="shared" ca="1" si="65"/>
        <v>1806.7951006837677</v>
      </c>
      <c r="AD138" s="18">
        <f t="shared" ca="1" si="66"/>
        <v>360</v>
      </c>
      <c r="AE138" s="18">
        <f t="shared" si="76"/>
        <v>120</v>
      </c>
      <c r="AF138" s="18">
        <f t="shared" ca="1" si="77"/>
        <v>45</v>
      </c>
      <c r="AG138" s="18">
        <f t="shared" ca="1" si="67"/>
        <v>2331.7951006837675</v>
      </c>
    </row>
    <row r="139" spans="13:33" x14ac:dyDescent="0.3">
      <c r="M139" s="49">
        <v>138</v>
      </c>
      <c r="N139" s="50">
        <f t="shared" ca="1" si="68"/>
        <v>8</v>
      </c>
      <c r="O139" s="50">
        <f t="shared" ca="1" si="69"/>
        <v>5</v>
      </c>
      <c r="P139" s="50">
        <f t="shared" ca="1" si="78"/>
        <v>197.26444882692385</v>
      </c>
      <c r="Q139" s="50">
        <f t="shared" ca="1" si="70"/>
        <v>202.26444882692385</v>
      </c>
      <c r="R139" s="50">
        <f t="shared" ca="1" si="71"/>
        <v>73</v>
      </c>
      <c r="S139" s="50">
        <f t="shared" ca="1" si="60"/>
        <v>6</v>
      </c>
      <c r="T139" s="50">
        <f t="shared" ca="1" si="61"/>
        <v>196.26444882692385</v>
      </c>
      <c r="U139" s="27">
        <f t="shared" ca="1" si="62"/>
        <v>0.67421482942307953</v>
      </c>
      <c r="V139" s="50">
        <f t="shared" ca="1" si="79"/>
        <v>3</v>
      </c>
      <c r="W139" s="50" t="str">
        <f t="shared" ca="1" si="63"/>
        <v>-</v>
      </c>
      <c r="X139" s="50">
        <f t="shared" ca="1" si="72"/>
        <v>30</v>
      </c>
      <c r="Y139" s="50">
        <f t="shared" ca="1" si="73"/>
        <v>1</v>
      </c>
      <c r="Z139" s="18">
        <f t="shared" ca="1" si="74"/>
        <v>400</v>
      </c>
      <c r="AA139" s="50">
        <f t="shared" ca="1" si="75"/>
        <v>86</v>
      </c>
      <c r="AB139" s="50" t="str">
        <f t="shared" ca="1" si="64"/>
        <v>-</v>
      </c>
      <c r="AC139" s="18" t="str">
        <f t="shared" ca="1" si="65"/>
        <v>0</v>
      </c>
      <c r="AD139" s="18">
        <f t="shared" ca="1" si="66"/>
        <v>120</v>
      </c>
      <c r="AE139" s="18">
        <f t="shared" si="76"/>
        <v>120</v>
      </c>
      <c r="AF139" s="18">
        <f t="shared" ca="1" si="77"/>
        <v>45</v>
      </c>
      <c r="AG139" s="18">
        <f t="shared" ca="1" si="67"/>
        <v>285</v>
      </c>
    </row>
    <row r="140" spans="13:33" x14ac:dyDescent="0.3">
      <c r="M140" s="49">
        <v>139</v>
      </c>
      <c r="N140" s="50">
        <f t="shared" ca="1" si="68"/>
        <v>92</v>
      </c>
      <c r="O140" s="50">
        <f t="shared" ca="1" si="69"/>
        <v>15</v>
      </c>
      <c r="P140" s="50">
        <f t="shared" ca="1" si="78"/>
        <v>196.26444882692385</v>
      </c>
      <c r="Q140" s="50">
        <f t="shared" ca="1" si="70"/>
        <v>211.26444882692385</v>
      </c>
      <c r="R140" s="50">
        <f t="shared" ca="1" si="71"/>
        <v>81</v>
      </c>
      <c r="S140" s="50">
        <f t="shared" ca="1" si="60"/>
        <v>8</v>
      </c>
      <c r="T140" s="50">
        <f t="shared" ca="1" si="61"/>
        <v>203.26444882692385</v>
      </c>
      <c r="U140" s="27">
        <f t="shared" ca="1" si="62"/>
        <v>0.70421482942307956</v>
      </c>
      <c r="V140" s="50">
        <f t="shared" ca="1" si="79"/>
        <v>3</v>
      </c>
      <c r="W140" s="50" t="str">
        <f t="shared" ca="1" si="63"/>
        <v>-</v>
      </c>
      <c r="X140" s="50">
        <f t="shared" ca="1" si="72"/>
        <v>32</v>
      </c>
      <c r="Y140" s="50">
        <f t="shared" ca="1" si="73"/>
        <v>2</v>
      </c>
      <c r="Z140" s="18">
        <f t="shared" ca="1" si="74"/>
        <v>800</v>
      </c>
      <c r="AA140" s="50">
        <f t="shared" ca="1" si="75"/>
        <v>51</v>
      </c>
      <c r="AB140" s="50" t="str">
        <f t="shared" ca="1" si="64"/>
        <v>-</v>
      </c>
      <c r="AC140" s="18" t="str">
        <f t="shared" ca="1" si="65"/>
        <v>0</v>
      </c>
      <c r="AD140" s="18">
        <f t="shared" ca="1" si="66"/>
        <v>240</v>
      </c>
      <c r="AE140" s="18">
        <f t="shared" si="76"/>
        <v>120</v>
      </c>
      <c r="AF140" s="18">
        <f t="shared" ca="1" si="77"/>
        <v>45</v>
      </c>
      <c r="AG140" s="18">
        <f t="shared" ca="1" si="67"/>
        <v>405</v>
      </c>
    </row>
    <row r="141" spans="13:33" x14ac:dyDescent="0.3">
      <c r="M141" s="49">
        <v>140</v>
      </c>
      <c r="N141" s="50">
        <f t="shared" ca="1" si="68"/>
        <v>1</v>
      </c>
      <c r="O141" s="50">
        <f t="shared" ca="1" si="69"/>
        <v>5</v>
      </c>
      <c r="P141" s="50">
        <f t="shared" ca="1" si="78"/>
        <v>203.26444882692385</v>
      </c>
      <c r="Q141" s="50">
        <f t="shared" ca="1" si="70"/>
        <v>208.26444882692385</v>
      </c>
      <c r="R141" s="50">
        <f t="shared" ca="1" si="71"/>
        <v>84</v>
      </c>
      <c r="S141" s="50">
        <f t="shared" ca="1" si="60"/>
        <v>8</v>
      </c>
      <c r="T141" s="50">
        <f t="shared" ca="1" si="61"/>
        <v>200.26444882692385</v>
      </c>
      <c r="U141" s="27">
        <f t="shared" ca="1" si="62"/>
        <v>0.69421482942307955</v>
      </c>
      <c r="V141" s="50">
        <f t="shared" ca="1" si="79"/>
        <v>3</v>
      </c>
      <c r="W141" s="50" t="str">
        <f t="shared" ca="1" si="63"/>
        <v>-</v>
      </c>
      <c r="X141" s="50">
        <f t="shared" ca="1" si="72"/>
        <v>93</v>
      </c>
      <c r="Y141" s="50">
        <f t="shared" ca="1" si="73"/>
        <v>5</v>
      </c>
      <c r="Z141" s="18">
        <f t="shared" ca="1" si="74"/>
        <v>2000</v>
      </c>
      <c r="AA141" s="50">
        <f t="shared" ca="1" si="75"/>
        <v>87</v>
      </c>
      <c r="AB141" s="50" t="str">
        <f t="shared" ca="1" si="64"/>
        <v>-</v>
      </c>
      <c r="AC141" s="18" t="str">
        <f t="shared" ca="1" si="65"/>
        <v>0</v>
      </c>
      <c r="AD141" s="18">
        <f t="shared" ca="1" si="66"/>
        <v>600</v>
      </c>
      <c r="AE141" s="18">
        <f t="shared" si="76"/>
        <v>120</v>
      </c>
      <c r="AF141" s="18">
        <f t="shared" ca="1" si="77"/>
        <v>45</v>
      </c>
      <c r="AG141" s="18">
        <f t="shared" ca="1" si="67"/>
        <v>765</v>
      </c>
    </row>
    <row r="142" spans="13:33" x14ac:dyDescent="0.3">
      <c r="M142" s="49">
        <v>141</v>
      </c>
      <c r="N142" s="50">
        <f t="shared" ca="1" si="68"/>
        <v>22</v>
      </c>
      <c r="O142" s="50">
        <f t="shared" ca="1" si="69"/>
        <v>5</v>
      </c>
      <c r="P142" s="50">
        <f t="shared" ca="1" si="78"/>
        <v>200.26444882692385</v>
      </c>
      <c r="Q142" s="50">
        <f t="shared" ca="1" si="70"/>
        <v>205.26444882692385</v>
      </c>
      <c r="R142" s="50">
        <f t="shared" ca="1" si="71"/>
        <v>76</v>
      </c>
      <c r="S142" s="50">
        <f t="shared" ca="1" si="60"/>
        <v>8</v>
      </c>
      <c r="T142" s="50">
        <f t="shared" ca="1" si="61"/>
        <v>197.26444882692385</v>
      </c>
      <c r="U142" s="27">
        <f t="shared" ca="1" si="62"/>
        <v>0.68421482942307954</v>
      </c>
      <c r="V142" s="50">
        <f t="shared" ca="1" si="79"/>
        <v>3</v>
      </c>
      <c r="W142" s="50" t="str">
        <f t="shared" ca="1" si="63"/>
        <v>-</v>
      </c>
      <c r="X142" s="50">
        <f t="shared" ca="1" si="72"/>
        <v>31</v>
      </c>
      <c r="Y142" s="50">
        <f t="shared" ca="1" si="73"/>
        <v>2</v>
      </c>
      <c r="Z142" s="18">
        <f t="shared" ca="1" si="74"/>
        <v>800</v>
      </c>
      <c r="AA142" s="50">
        <f t="shared" ca="1" si="75"/>
        <v>80</v>
      </c>
      <c r="AB142" s="50" t="str">
        <f t="shared" ca="1" si="64"/>
        <v>-</v>
      </c>
      <c r="AC142" s="18" t="str">
        <f t="shared" ca="1" si="65"/>
        <v>0</v>
      </c>
      <c r="AD142" s="18">
        <f t="shared" ca="1" si="66"/>
        <v>240</v>
      </c>
      <c r="AE142" s="18">
        <f t="shared" si="76"/>
        <v>120</v>
      </c>
      <c r="AF142" s="18">
        <f t="shared" ca="1" si="77"/>
        <v>45</v>
      </c>
      <c r="AG142" s="18">
        <f t="shared" ca="1" si="67"/>
        <v>405</v>
      </c>
    </row>
    <row r="143" spans="13:33" x14ac:dyDescent="0.3">
      <c r="M143" s="49">
        <v>142</v>
      </c>
      <c r="N143" s="50">
        <f t="shared" ca="1" si="68"/>
        <v>70</v>
      </c>
      <c r="O143" s="50">
        <f t="shared" ca="1" si="69"/>
        <v>8</v>
      </c>
      <c r="P143" s="50">
        <f t="shared" ca="1" si="78"/>
        <v>197.26444882692385</v>
      </c>
      <c r="Q143" s="50">
        <f t="shared" ca="1" si="70"/>
        <v>205.26444882692385</v>
      </c>
      <c r="R143" s="50">
        <f t="shared" ca="1" si="71"/>
        <v>56</v>
      </c>
      <c r="S143" s="50">
        <f t="shared" ca="1" si="60"/>
        <v>6</v>
      </c>
      <c r="T143" s="50">
        <f t="shared" ca="1" si="61"/>
        <v>199.26444882692385</v>
      </c>
      <c r="U143" s="27">
        <f t="shared" ca="1" si="62"/>
        <v>0.68421482942307954</v>
      </c>
      <c r="V143" s="50">
        <f t="shared" ca="1" si="79"/>
        <v>3</v>
      </c>
      <c r="W143" s="50" t="str">
        <f t="shared" ca="1" si="63"/>
        <v>-</v>
      </c>
      <c r="X143" s="50">
        <f t="shared" ca="1" si="72"/>
        <v>68</v>
      </c>
      <c r="Y143" s="50">
        <f t="shared" ca="1" si="73"/>
        <v>2</v>
      </c>
      <c r="Z143" s="18">
        <f t="shared" ca="1" si="74"/>
        <v>800</v>
      </c>
      <c r="AA143" s="50">
        <f t="shared" ca="1" si="75"/>
        <v>61</v>
      </c>
      <c r="AB143" s="50" t="str">
        <f t="shared" ca="1" si="64"/>
        <v>-</v>
      </c>
      <c r="AC143" s="18" t="str">
        <f t="shared" ca="1" si="65"/>
        <v>0</v>
      </c>
      <c r="AD143" s="18">
        <f t="shared" ca="1" si="66"/>
        <v>240</v>
      </c>
      <c r="AE143" s="18">
        <f t="shared" si="76"/>
        <v>120</v>
      </c>
      <c r="AF143" s="18">
        <f t="shared" ca="1" si="77"/>
        <v>45</v>
      </c>
      <c r="AG143" s="18">
        <f t="shared" ca="1" si="67"/>
        <v>405</v>
      </c>
    </row>
    <row r="144" spans="13:33" x14ac:dyDescent="0.3">
      <c r="M144" s="49">
        <v>143</v>
      </c>
      <c r="N144" s="50">
        <f t="shared" ca="1" si="68"/>
        <v>57</v>
      </c>
      <c r="O144" s="50">
        <f t="shared" ca="1" si="69"/>
        <v>8</v>
      </c>
      <c r="P144" s="50">
        <f t="shared" ca="1" si="78"/>
        <v>199.26444882692385</v>
      </c>
      <c r="Q144" s="50">
        <f t="shared" ca="1" si="70"/>
        <v>207.26444882692385</v>
      </c>
      <c r="R144" s="50">
        <f t="shared" ca="1" si="71"/>
        <v>94</v>
      </c>
      <c r="S144" s="50">
        <f t="shared" ca="1" si="60"/>
        <v>8</v>
      </c>
      <c r="T144" s="50">
        <f t="shared" ca="1" si="61"/>
        <v>199.26444882692385</v>
      </c>
      <c r="U144" s="27">
        <f t="shared" ca="1" si="62"/>
        <v>0.69088149608974614</v>
      </c>
      <c r="V144" s="50">
        <f t="shared" ca="1" si="79"/>
        <v>3</v>
      </c>
      <c r="W144" s="50" t="str">
        <f t="shared" ca="1" si="63"/>
        <v>-</v>
      </c>
      <c r="X144" s="50">
        <f t="shared" ca="1" si="72"/>
        <v>62</v>
      </c>
      <c r="Y144" s="50">
        <f t="shared" ca="1" si="73"/>
        <v>3</v>
      </c>
      <c r="Z144" s="18">
        <f t="shared" ca="1" si="74"/>
        <v>1200</v>
      </c>
      <c r="AA144" s="50">
        <f t="shared" ca="1" si="75"/>
        <v>56</v>
      </c>
      <c r="AB144" s="50" t="str">
        <f t="shared" ca="1" si="64"/>
        <v>-</v>
      </c>
      <c r="AC144" s="18" t="str">
        <f t="shared" ca="1" si="65"/>
        <v>0</v>
      </c>
      <c r="AD144" s="18">
        <f t="shared" ca="1" si="66"/>
        <v>360</v>
      </c>
      <c r="AE144" s="18">
        <f t="shared" si="76"/>
        <v>120</v>
      </c>
      <c r="AF144" s="18">
        <f t="shared" ca="1" si="77"/>
        <v>45</v>
      </c>
      <c r="AG144" s="18">
        <f t="shared" ca="1" si="67"/>
        <v>525</v>
      </c>
    </row>
    <row r="145" spans="13:33" x14ac:dyDescent="0.3">
      <c r="M145" s="49">
        <v>144</v>
      </c>
      <c r="N145" s="50">
        <f t="shared" ca="1" si="68"/>
        <v>58</v>
      </c>
      <c r="O145" s="50">
        <f t="shared" ca="1" si="69"/>
        <v>8</v>
      </c>
      <c r="P145" s="50">
        <f t="shared" ca="1" si="78"/>
        <v>199.26444882692385</v>
      </c>
      <c r="Q145" s="50">
        <f t="shared" ca="1" si="70"/>
        <v>207.26444882692385</v>
      </c>
      <c r="R145" s="50">
        <f t="shared" ca="1" si="71"/>
        <v>66</v>
      </c>
      <c r="S145" s="50">
        <f t="shared" ca="1" si="60"/>
        <v>6</v>
      </c>
      <c r="T145" s="50">
        <f t="shared" ca="1" si="61"/>
        <v>201.26444882692385</v>
      </c>
      <c r="U145" s="27">
        <f t="shared" ca="1" si="62"/>
        <v>0.69088149608974614</v>
      </c>
      <c r="V145" s="50">
        <f t="shared" ca="1" si="79"/>
        <v>3</v>
      </c>
      <c r="W145" s="50" t="str">
        <f t="shared" ca="1" si="63"/>
        <v>-</v>
      </c>
      <c r="X145" s="50">
        <f t="shared" ca="1" si="72"/>
        <v>30</v>
      </c>
      <c r="Y145" s="50">
        <f t="shared" ca="1" si="73"/>
        <v>1</v>
      </c>
      <c r="Z145" s="18">
        <f t="shared" ca="1" si="74"/>
        <v>400</v>
      </c>
      <c r="AA145" s="50">
        <f t="shared" ca="1" si="75"/>
        <v>66</v>
      </c>
      <c r="AB145" s="50" t="str">
        <f t="shared" ca="1" si="64"/>
        <v>-</v>
      </c>
      <c r="AC145" s="18" t="str">
        <f t="shared" ca="1" si="65"/>
        <v>0</v>
      </c>
      <c r="AD145" s="18">
        <f t="shared" ca="1" si="66"/>
        <v>120</v>
      </c>
      <c r="AE145" s="18">
        <f t="shared" si="76"/>
        <v>120</v>
      </c>
      <c r="AF145" s="18">
        <f t="shared" ca="1" si="77"/>
        <v>45</v>
      </c>
      <c r="AG145" s="18">
        <f t="shared" ca="1" si="67"/>
        <v>285</v>
      </c>
    </row>
    <row r="146" spans="13:33" x14ac:dyDescent="0.3">
      <c r="M146" s="49">
        <v>145</v>
      </c>
      <c r="N146" s="50">
        <f t="shared" ca="1" si="68"/>
        <v>21</v>
      </c>
      <c r="O146" s="50">
        <f t="shared" ca="1" si="69"/>
        <v>5</v>
      </c>
      <c r="P146" s="50">
        <f t="shared" ca="1" si="78"/>
        <v>201.26444882692385</v>
      </c>
      <c r="Q146" s="50">
        <f t="shared" ca="1" si="70"/>
        <v>206.26444882692385</v>
      </c>
      <c r="R146" s="50">
        <f t="shared" ca="1" si="71"/>
        <v>8</v>
      </c>
      <c r="S146" s="50">
        <f t="shared" ca="1" si="60"/>
        <v>2</v>
      </c>
      <c r="T146" s="50">
        <f t="shared" ca="1" si="61"/>
        <v>204.26444882692385</v>
      </c>
      <c r="U146" s="27">
        <f t="shared" ca="1" si="62"/>
        <v>0.68754816275641284</v>
      </c>
      <c r="V146" s="50">
        <f t="shared" ca="1" si="79"/>
        <v>3</v>
      </c>
      <c r="W146" s="50" t="str">
        <f t="shared" ca="1" si="63"/>
        <v>-</v>
      </c>
      <c r="X146" s="50">
        <f t="shared" ca="1" si="72"/>
        <v>27</v>
      </c>
      <c r="Y146" s="50">
        <f t="shared" ca="1" si="73"/>
        <v>0</v>
      </c>
      <c r="Z146" s="18">
        <f t="shared" ca="1" si="74"/>
        <v>0</v>
      </c>
      <c r="AA146" s="50">
        <f t="shared" ca="1" si="75"/>
        <v>87</v>
      </c>
      <c r="AB146" s="50" t="str">
        <f t="shared" ca="1" si="64"/>
        <v>-</v>
      </c>
      <c r="AC146" s="18" t="str">
        <f t="shared" ca="1" si="65"/>
        <v>0</v>
      </c>
      <c r="AD146" s="18">
        <f t="shared" ca="1" si="66"/>
        <v>0</v>
      </c>
      <c r="AE146" s="18">
        <f t="shared" si="76"/>
        <v>120</v>
      </c>
      <c r="AF146" s="18">
        <f t="shared" ca="1" si="77"/>
        <v>45</v>
      </c>
      <c r="AG146" s="18">
        <f t="shared" ca="1" si="67"/>
        <v>165</v>
      </c>
    </row>
    <row r="147" spans="13:33" x14ac:dyDescent="0.3">
      <c r="M147" s="49">
        <v>146</v>
      </c>
      <c r="N147" s="50">
        <f t="shared" ca="1" si="68"/>
        <v>8</v>
      </c>
      <c r="O147" s="50">
        <f t="shared" ca="1" si="69"/>
        <v>5</v>
      </c>
      <c r="P147" s="50">
        <f t="shared" ca="1" si="78"/>
        <v>204.26444882692385</v>
      </c>
      <c r="Q147" s="50">
        <f t="shared" ca="1" si="70"/>
        <v>209.26444882692385</v>
      </c>
      <c r="R147" s="50">
        <f t="shared" ca="1" si="71"/>
        <v>16</v>
      </c>
      <c r="S147" s="50">
        <f t="shared" ca="1" si="60"/>
        <v>4</v>
      </c>
      <c r="T147" s="50">
        <f t="shared" ca="1" si="61"/>
        <v>205.26444882692385</v>
      </c>
      <c r="U147" s="27">
        <f t="shared" ca="1" si="62"/>
        <v>0.69754816275641285</v>
      </c>
      <c r="V147" s="50">
        <f t="shared" ca="1" si="79"/>
        <v>3</v>
      </c>
      <c r="W147" s="50" t="str">
        <f t="shared" ca="1" si="63"/>
        <v>-</v>
      </c>
      <c r="X147" s="50">
        <f t="shared" ca="1" si="72"/>
        <v>30</v>
      </c>
      <c r="Y147" s="50">
        <f t="shared" ca="1" si="73"/>
        <v>1</v>
      </c>
      <c r="Z147" s="18">
        <f t="shared" ca="1" si="74"/>
        <v>400</v>
      </c>
      <c r="AA147" s="50">
        <f t="shared" ca="1" si="75"/>
        <v>52</v>
      </c>
      <c r="AB147" s="50" t="str">
        <f t="shared" ca="1" si="64"/>
        <v>-</v>
      </c>
      <c r="AC147" s="18" t="str">
        <f t="shared" ca="1" si="65"/>
        <v>0</v>
      </c>
      <c r="AD147" s="18">
        <f t="shared" ca="1" si="66"/>
        <v>120</v>
      </c>
      <c r="AE147" s="18">
        <f t="shared" si="76"/>
        <v>120</v>
      </c>
      <c r="AF147" s="18">
        <f t="shared" ca="1" si="77"/>
        <v>45</v>
      </c>
      <c r="AG147" s="18">
        <f t="shared" ca="1" si="67"/>
        <v>285</v>
      </c>
    </row>
    <row r="148" spans="13:33" x14ac:dyDescent="0.3">
      <c r="M148" s="49">
        <v>147</v>
      </c>
      <c r="N148" s="50">
        <f t="shared" ca="1" si="68"/>
        <v>41</v>
      </c>
      <c r="O148" s="50">
        <f t="shared" ca="1" si="69"/>
        <v>5</v>
      </c>
      <c r="P148" s="50">
        <f t="shared" ca="1" si="78"/>
        <v>205.26444882692385</v>
      </c>
      <c r="Q148" s="50">
        <f t="shared" ca="1" si="70"/>
        <v>210.26444882692385</v>
      </c>
      <c r="R148" s="50">
        <f t="shared" ca="1" si="71"/>
        <v>85</v>
      </c>
      <c r="S148" s="50">
        <f t="shared" ca="1" si="60"/>
        <v>8</v>
      </c>
      <c r="T148" s="50">
        <f t="shared" ca="1" si="61"/>
        <v>202.26444882692385</v>
      </c>
      <c r="U148" s="27">
        <f t="shared" ca="1" si="62"/>
        <v>0.70088149608974615</v>
      </c>
      <c r="V148" s="50">
        <f t="shared" ca="1" si="79"/>
        <v>3</v>
      </c>
      <c r="W148" s="50" t="str">
        <f t="shared" ca="1" si="63"/>
        <v>-</v>
      </c>
      <c r="X148" s="50">
        <f t="shared" ca="1" si="72"/>
        <v>99</v>
      </c>
      <c r="Y148" s="50">
        <f t="shared" ca="1" si="73"/>
        <v>6</v>
      </c>
      <c r="Z148" s="18">
        <f t="shared" ca="1" si="74"/>
        <v>2400</v>
      </c>
      <c r="AA148" s="50">
        <f t="shared" ca="1" si="75"/>
        <v>63</v>
      </c>
      <c r="AB148" s="50" t="str">
        <f t="shared" ca="1" si="64"/>
        <v>-</v>
      </c>
      <c r="AC148" s="18" t="str">
        <f t="shared" ca="1" si="65"/>
        <v>0</v>
      </c>
      <c r="AD148" s="18">
        <f t="shared" ca="1" si="66"/>
        <v>720</v>
      </c>
      <c r="AE148" s="18">
        <f t="shared" si="76"/>
        <v>120</v>
      </c>
      <c r="AF148" s="18">
        <f t="shared" ca="1" si="77"/>
        <v>45</v>
      </c>
      <c r="AG148" s="18">
        <f t="shared" ca="1" si="67"/>
        <v>885</v>
      </c>
    </row>
    <row r="149" spans="13:33" x14ac:dyDescent="0.3">
      <c r="M149" s="49">
        <v>148</v>
      </c>
      <c r="N149" s="50">
        <f t="shared" ca="1" si="68"/>
        <v>84</v>
      </c>
      <c r="O149" s="50">
        <f t="shared" ca="1" si="69"/>
        <v>12</v>
      </c>
      <c r="P149" s="50">
        <f t="shared" ca="1" si="78"/>
        <v>202.26444882692385</v>
      </c>
      <c r="Q149" s="50">
        <f t="shared" ca="1" si="70"/>
        <v>214.26444882692385</v>
      </c>
      <c r="R149" s="50">
        <f t="shared" ca="1" si="71"/>
        <v>46</v>
      </c>
      <c r="S149" s="50">
        <f t="shared" ca="1" si="60"/>
        <v>6</v>
      </c>
      <c r="T149" s="50">
        <f t="shared" ca="1" si="61"/>
        <v>208.26444882692385</v>
      </c>
      <c r="U149" s="27">
        <f t="shared" ca="1" si="62"/>
        <v>0.71421482942307957</v>
      </c>
      <c r="V149" s="50">
        <f t="shared" ca="1" si="79"/>
        <v>3</v>
      </c>
      <c r="W149" s="50" t="str">
        <f t="shared" ca="1" si="63"/>
        <v>-</v>
      </c>
      <c r="X149" s="50">
        <f t="shared" ca="1" si="72"/>
        <v>54</v>
      </c>
      <c r="Y149" s="50">
        <f t="shared" ca="1" si="73"/>
        <v>1</v>
      </c>
      <c r="Z149" s="18">
        <f t="shared" ca="1" si="74"/>
        <v>400</v>
      </c>
      <c r="AA149" s="50">
        <f t="shared" ca="1" si="75"/>
        <v>41</v>
      </c>
      <c r="AB149" s="50" t="str">
        <f t="shared" ca="1" si="64"/>
        <v>-</v>
      </c>
      <c r="AC149" s="18" t="str">
        <f t="shared" ca="1" si="65"/>
        <v>0</v>
      </c>
      <c r="AD149" s="18">
        <f t="shared" ca="1" si="66"/>
        <v>120</v>
      </c>
      <c r="AE149" s="18">
        <f t="shared" si="76"/>
        <v>120</v>
      </c>
      <c r="AF149" s="18">
        <f t="shared" ca="1" si="77"/>
        <v>45</v>
      </c>
      <c r="AG149" s="18">
        <f t="shared" ca="1" si="67"/>
        <v>285</v>
      </c>
    </row>
    <row r="150" spans="13:33" x14ac:dyDescent="0.3">
      <c r="M150" s="49">
        <v>149</v>
      </c>
      <c r="N150" s="50">
        <f t="shared" ca="1" si="68"/>
        <v>45</v>
      </c>
      <c r="O150" s="50">
        <f t="shared" ca="1" si="69"/>
        <v>5</v>
      </c>
      <c r="P150" s="50">
        <f t="shared" ca="1" si="78"/>
        <v>208.26444882692385</v>
      </c>
      <c r="Q150" s="50">
        <f t="shared" ca="1" si="70"/>
        <v>213.26444882692385</v>
      </c>
      <c r="R150" s="50">
        <f t="shared" ca="1" si="71"/>
        <v>47</v>
      </c>
      <c r="S150" s="50">
        <f t="shared" ca="1" si="60"/>
        <v>6</v>
      </c>
      <c r="T150" s="50">
        <f t="shared" ca="1" si="61"/>
        <v>207.26444882692385</v>
      </c>
      <c r="U150" s="27">
        <f t="shared" ca="1" si="62"/>
        <v>0.71088149608974616</v>
      </c>
      <c r="V150" s="50">
        <f t="shared" ca="1" si="79"/>
        <v>3</v>
      </c>
      <c r="W150" s="50" t="str">
        <f t="shared" ca="1" si="63"/>
        <v>-</v>
      </c>
      <c r="X150" s="50">
        <f t="shared" ca="1" si="72"/>
        <v>95</v>
      </c>
      <c r="Y150" s="50">
        <f t="shared" ca="1" si="73"/>
        <v>4</v>
      </c>
      <c r="Z150" s="18">
        <f t="shared" ca="1" si="74"/>
        <v>1600</v>
      </c>
      <c r="AA150" s="50">
        <f t="shared" ca="1" si="75"/>
        <v>32</v>
      </c>
      <c r="AB150" s="50" t="str">
        <f t="shared" ca="1" si="64"/>
        <v>-</v>
      </c>
      <c r="AC150" s="18" t="str">
        <f t="shared" ca="1" si="65"/>
        <v>0</v>
      </c>
      <c r="AD150" s="18">
        <f t="shared" ca="1" si="66"/>
        <v>480</v>
      </c>
      <c r="AE150" s="18">
        <f t="shared" si="76"/>
        <v>120</v>
      </c>
      <c r="AF150" s="18">
        <f t="shared" ca="1" si="77"/>
        <v>45</v>
      </c>
      <c r="AG150" s="18">
        <f t="shared" ca="1" si="67"/>
        <v>645</v>
      </c>
    </row>
    <row r="151" spans="13:33" x14ac:dyDescent="0.3">
      <c r="M151" s="49">
        <v>150</v>
      </c>
      <c r="N151" s="50">
        <f t="shared" ca="1" si="68"/>
        <v>32</v>
      </c>
      <c r="O151" s="50">
        <f t="shared" ca="1" si="69"/>
        <v>5</v>
      </c>
      <c r="P151" s="50">
        <f t="shared" ca="1" si="78"/>
        <v>207.26444882692385</v>
      </c>
      <c r="Q151" s="50">
        <f t="shared" ca="1" si="70"/>
        <v>212.26444882692385</v>
      </c>
      <c r="R151" s="50">
        <f t="shared" ca="1" si="71"/>
        <v>81</v>
      </c>
      <c r="S151" s="50">
        <f t="shared" ca="1" si="60"/>
        <v>8</v>
      </c>
      <c r="T151" s="50">
        <f t="shared" ca="1" si="61"/>
        <v>204.26444882692385</v>
      </c>
      <c r="U151" s="27">
        <f t="shared" ca="1" si="62"/>
        <v>0.70754816275641286</v>
      </c>
      <c r="V151" s="50">
        <f t="shared" ca="1" si="79"/>
        <v>3</v>
      </c>
      <c r="W151" s="50" t="str">
        <f t="shared" ca="1" si="63"/>
        <v>-</v>
      </c>
      <c r="X151" s="50">
        <f t="shared" ca="1" si="72"/>
        <v>19</v>
      </c>
      <c r="Y151" s="50">
        <f t="shared" ca="1" si="73"/>
        <v>2</v>
      </c>
      <c r="Z151" s="18">
        <f t="shared" ca="1" si="74"/>
        <v>800</v>
      </c>
      <c r="AA151" s="50">
        <f t="shared" ca="1" si="75"/>
        <v>100</v>
      </c>
      <c r="AB151" s="50" t="str">
        <f t="shared" ca="1" si="64"/>
        <v>-</v>
      </c>
      <c r="AC151" s="18" t="str">
        <f t="shared" ca="1" si="65"/>
        <v>0</v>
      </c>
      <c r="AD151" s="18">
        <f t="shared" ca="1" si="66"/>
        <v>240</v>
      </c>
      <c r="AE151" s="18">
        <f t="shared" si="76"/>
        <v>120</v>
      </c>
      <c r="AF151" s="18">
        <f t="shared" ca="1" si="77"/>
        <v>45</v>
      </c>
      <c r="AG151" s="18">
        <f t="shared" ca="1" si="67"/>
        <v>405</v>
      </c>
    </row>
    <row r="152" spans="13:33" x14ac:dyDescent="0.3">
      <c r="M152" s="49">
        <v>151</v>
      </c>
      <c r="N152" s="50">
        <f t="shared" ca="1" si="68"/>
        <v>78</v>
      </c>
      <c r="O152" s="50">
        <f t="shared" ca="1" si="69"/>
        <v>12</v>
      </c>
      <c r="P152" s="50">
        <f t="shared" ca="1" si="78"/>
        <v>204.26444882692385</v>
      </c>
      <c r="Q152" s="50">
        <f t="shared" ca="1" si="70"/>
        <v>216.26444882692385</v>
      </c>
      <c r="R152" s="50">
        <f t="shared" ca="1" si="71"/>
        <v>86</v>
      </c>
      <c r="S152" s="50">
        <f t="shared" ca="1" si="60"/>
        <v>8</v>
      </c>
      <c r="T152" s="50">
        <f t="shared" ca="1" si="61"/>
        <v>208.26444882692385</v>
      </c>
      <c r="U152" s="27">
        <f t="shared" ca="1" si="62"/>
        <v>0.72088149608974617</v>
      </c>
      <c r="V152" s="50">
        <f t="shared" ca="1" si="79"/>
        <v>3</v>
      </c>
      <c r="W152" s="50" t="str">
        <f t="shared" ca="1" si="63"/>
        <v>-</v>
      </c>
      <c r="X152" s="50">
        <f t="shared" ca="1" si="72"/>
        <v>31</v>
      </c>
      <c r="Y152" s="50">
        <f t="shared" ca="1" si="73"/>
        <v>2</v>
      </c>
      <c r="Z152" s="18">
        <f t="shared" ca="1" si="74"/>
        <v>800</v>
      </c>
      <c r="AA152" s="50">
        <f t="shared" ca="1" si="75"/>
        <v>30</v>
      </c>
      <c r="AB152" s="50" t="str">
        <f t="shared" ca="1" si="64"/>
        <v>-</v>
      </c>
      <c r="AC152" s="18" t="str">
        <f t="shared" ca="1" si="65"/>
        <v>0</v>
      </c>
      <c r="AD152" s="18">
        <f t="shared" ca="1" si="66"/>
        <v>240</v>
      </c>
      <c r="AE152" s="18">
        <f t="shared" si="76"/>
        <v>120</v>
      </c>
      <c r="AF152" s="18">
        <f t="shared" ca="1" si="77"/>
        <v>45</v>
      </c>
      <c r="AG152" s="18">
        <f t="shared" ca="1" si="67"/>
        <v>405</v>
      </c>
    </row>
    <row r="153" spans="13:33" x14ac:dyDescent="0.3">
      <c r="M153" s="49">
        <v>152</v>
      </c>
      <c r="N153" s="50">
        <f t="shared" ca="1" si="68"/>
        <v>1</v>
      </c>
      <c r="O153" s="50">
        <f t="shared" ca="1" si="69"/>
        <v>5</v>
      </c>
      <c r="P153" s="50">
        <f t="shared" ca="1" si="78"/>
        <v>208.26444882692385</v>
      </c>
      <c r="Q153" s="50">
        <f t="shared" ca="1" si="70"/>
        <v>213.26444882692385</v>
      </c>
      <c r="R153" s="50">
        <f t="shared" ca="1" si="71"/>
        <v>74</v>
      </c>
      <c r="S153" s="50">
        <f t="shared" ca="1" si="60"/>
        <v>6</v>
      </c>
      <c r="T153" s="50">
        <f t="shared" ca="1" si="61"/>
        <v>207.26444882692385</v>
      </c>
      <c r="U153" s="27">
        <f t="shared" ca="1" si="62"/>
        <v>0.71088149608974616</v>
      </c>
      <c r="V153" s="50">
        <f t="shared" ca="1" si="79"/>
        <v>3</v>
      </c>
      <c r="W153" s="50" t="str">
        <f t="shared" ca="1" si="63"/>
        <v>-</v>
      </c>
      <c r="X153" s="50">
        <f t="shared" ca="1" si="72"/>
        <v>60</v>
      </c>
      <c r="Y153" s="50">
        <f t="shared" ca="1" si="73"/>
        <v>2</v>
      </c>
      <c r="Z153" s="18">
        <f t="shared" ca="1" si="74"/>
        <v>800</v>
      </c>
      <c r="AA153" s="50">
        <f t="shared" ca="1" si="75"/>
        <v>76</v>
      </c>
      <c r="AB153" s="50" t="str">
        <f t="shared" ca="1" si="64"/>
        <v>-</v>
      </c>
      <c r="AC153" s="18" t="str">
        <f t="shared" ca="1" si="65"/>
        <v>0</v>
      </c>
      <c r="AD153" s="18">
        <f t="shared" ca="1" si="66"/>
        <v>240</v>
      </c>
      <c r="AE153" s="18">
        <f t="shared" si="76"/>
        <v>120</v>
      </c>
      <c r="AF153" s="18">
        <f t="shared" ca="1" si="77"/>
        <v>45</v>
      </c>
      <c r="AG153" s="18">
        <f t="shared" ca="1" si="67"/>
        <v>405</v>
      </c>
    </row>
    <row r="154" spans="13:33" x14ac:dyDescent="0.3">
      <c r="M154" s="49">
        <v>153</v>
      </c>
      <c r="N154" s="50">
        <f t="shared" ca="1" si="68"/>
        <v>13</v>
      </c>
      <c r="O154" s="50">
        <f t="shared" ca="1" si="69"/>
        <v>5</v>
      </c>
      <c r="P154" s="50">
        <f t="shared" ca="1" si="78"/>
        <v>207.26444882692385</v>
      </c>
      <c r="Q154" s="50">
        <f t="shared" ca="1" si="70"/>
        <v>212.26444882692385</v>
      </c>
      <c r="R154" s="50">
        <f t="shared" ca="1" si="71"/>
        <v>64</v>
      </c>
      <c r="S154" s="50">
        <f t="shared" ca="1" si="60"/>
        <v>6</v>
      </c>
      <c r="T154" s="50">
        <f t="shared" ca="1" si="61"/>
        <v>206.26444882692385</v>
      </c>
      <c r="U154" s="27">
        <f t="shared" ca="1" si="62"/>
        <v>0.70754816275641286</v>
      </c>
      <c r="V154" s="50">
        <f t="shared" ca="1" si="79"/>
        <v>3</v>
      </c>
      <c r="W154" s="50" t="str">
        <f t="shared" ca="1" si="63"/>
        <v>-</v>
      </c>
      <c r="X154" s="50">
        <f t="shared" ca="1" si="72"/>
        <v>60</v>
      </c>
      <c r="Y154" s="50">
        <f t="shared" ca="1" si="73"/>
        <v>2</v>
      </c>
      <c r="Z154" s="18">
        <f t="shared" ca="1" si="74"/>
        <v>800</v>
      </c>
      <c r="AA154" s="50">
        <f t="shared" ca="1" si="75"/>
        <v>23</v>
      </c>
      <c r="AB154" s="50" t="str">
        <f t="shared" ca="1" si="64"/>
        <v>-</v>
      </c>
      <c r="AC154" s="18" t="str">
        <f t="shared" ca="1" si="65"/>
        <v>0</v>
      </c>
      <c r="AD154" s="18">
        <f t="shared" ca="1" si="66"/>
        <v>240</v>
      </c>
      <c r="AE154" s="18">
        <f t="shared" si="76"/>
        <v>120</v>
      </c>
      <c r="AF154" s="18">
        <f t="shared" ca="1" si="77"/>
        <v>45</v>
      </c>
      <c r="AG154" s="18">
        <f t="shared" ca="1" si="67"/>
        <v>405</v>
      </c>
    </row>
    <row r="155" spans="13:33" x14ac:dyDescent="0.3">
      <c r="M155" s="49">
        <v>154</v>
      </c>
      <c r="N155" s="50">
        <f t="shared" ca="1" si="68"/>
        <v>93</v>
      </c>
      <c r="O155" s="50">
        <f t="shared" ca="1" si="69"/>
        <v>15</v>
      </c>
      <c r="P155" s="50">
        <f t="shared" ca="1" si="78"/>
        <v>206.26444882692385</v>
      </c>
      <c r="Q155" s="50">
        <f t="shared" ca="1" si="70"/>
        <v>221.26444882692385</v>
      </c>
      <c r="R155" s="50">
        <f t="shared" ca="1" si="71"/>
        <v>16</v>
      </c>
      <c r="S155" s="50">
        <f t="shared" ca="1" si="60"/>
        <v>4</v>
      </c>
      <c r="T155" s="50">
        <f t="shared" ca="1" si="61"/>
        <v>217.26444882692385</v>
      </c>
      <c r="U155" s="27">
        <f t="shared" ca="1" si="62"/>
        <v>0.73754816275641288</v>
      </c>
      <c r="V155" s="50">
        <f t="shared" ca="1" si="79"/>
        <v>3</v>
      </c>
      <c r="W155" s="50" t="str">
        <f t="shared" ca="1" si="63"/>
        <v>-</v>
      </c>
      <c r="X155" s="50">
        <f t="shared" ca="1" si="72"/>
        <v>27</v>
      </c>
      <c r="Y155" s="50">
        <f t="shared" ca="1" si="73"/>
        <v>1</v>
      </c>
      <c r="Z155" s="18">
        <f t="shared" ca="1" si="74"/>
        <v>400</v>
      </c>
      <c r="AA155" s="50">
        <f t="shared" ca="1" si="75"/>
        <v>5</v>
      </c>
      <c r="AB155" s="50" t="str">
        <f t="shared" ca="1" si="64"/>
        <v>-</v>
      </c>
      <c r="AC155" s="18" t="str">
        <f t="shared" ca="1" si="65"/>
        <v>0</v>
      </c>
      <c r="AD155" s="18">
        <f t="shared" ca="1" si="66"/>
        <v>120</v>
      </c>
      <c r="AE155" s="18">
        <f t="shared" si="76"/>
        <v>120</v>
      </c>
      <c r="AF155" s="18">
        <f t="shared" ca="1" si="77"/>
        <v>45</v>
      </c>
      <c r="AG155" s="18">
        <f t="shared" ca="1" si="67"/>
        <v>285</v>
      </c>
    </row>
    <row r="156" spans="13:33" x14ac:dyDescent="0.3">
      <c r="M156" s="49">
        <v>155</v>
      </c>
      <c r="N156" s="50">
        <f t="shared" ca="1" si="68"/>
        <v>29</v>
      </c>
      <c r="O156" s="50">
        <f t="shared" ca="1" si="69"/>
        <v>5</v>
      </c>
      <c r="P156" s="50">
        <f t="shared" ca="1" si="78"/>
        <v>217.26444882692385</v>
      </c>
      <c r="Q156" s="50">
        <f t="shared" ca="1" si="70"/>
        <v>222.26444882692385</v>
      </c>
      <c r="R156" s="50">
        <f t="shared" ca="1" si="71"/>
        <v>8</v>
      </c>
      <c r="S156" s="50">
        <f t="shared" ca="1" si="60"/>
        <v>2</v>
      </c>
      <c r="T156" s="50">
        <f t="shared" ca="1" si="61"/>
        <v>220.26444882692385</v>
      </c>
      <c r="U156" s="27">
        <f t="shared" ca="1" si="62"/>
        <v>0.74088149608974618</v>
      </c>
      <c r="V156" s="50">
        <f t="shared" ca="1" si="79"/>
        <v>3</v>
      </c>
      <c r="W156" s="50" t="str">
        <f t="shared" ca="1" si="63"/>
        <v>-</v>
      </c>
      <c r="X156" s="50">
        <f t="shared" ca="1" si="72"/>
        <v>25</v>
      </c>
      <c r="Y156" s="50">
        <f t="shared" ca="1" si="73"/>
        <v>0</v>
      </c>
      <c r="Z156" s="18">
        <f t="shared" ca="1" si="74"/>
        <v>0</v>
      </c>
      <c r="AA156" s="50">
        <f t="shared" ca="1" si="75"/>
        <v>77</v>
      </c>
      <c r="AB156" s="50" t="str">
        <f t="shared" ca="1" si="64"/>
        <v>-</v>
      </c>
      <c r="AC156" s="18" t="str">
        <f t="shared" ca="1" si="65"/>
        <v>0</v>
      </c>
      <c r="AD156" s="18">
        <f t="shared" ca="1" si="66"/>
        <v>0</v>
      </c>
      <c r="AE156" s="18">
        <f t="shared" si="76"/>
        <v>120</v>
      </c>
      <c r="AF156" s="18">
        <f t="shared" ca="1" si="77"/>
        <v>45</v>
      </c>
      <c r="AG156" s="18">
        <f t="shared" ca="1" si="67"/>
        <v>165</v>
      </c>
    </row>
    <row r="157" spans="13:33" x14ac:dyDescent="0.3">
      <c r="M157" s="49">
        <v>156</v>
      </c>
      <c r="N157" s="50">
        <f t="shared" ca="1" si="68"/>
        <v>13</v>
      </c>
      <c r="O157" s="50">
        <f t="shared" ca="1" si="69"/>
        <v>5</v>
      </c>
      <c r="P157" s="50">
        <f t="shared" ca="1" si="78"/>
        <v>220.26444882692385</v>
      </c>
      <c r="Q157" s="50">
        <f t="shared" ca="1" si="70"/>
        <v>225.26444882692385</v>
      </c>
      <c r="R157" s="50">
        <f t="shared" ca="1" si="71"/>
        <v>96</v>
      </c>
      <c r="S157" s="50">
        <f t="shared" ca="1" si="60"/>
        <v>8</v>
      </c>
      <c r="T157" s="50">
        <f t="shared" ca="1" si="61"/>
        <v>194.73800394423148</v>
      </c>
      <c r="U157" s="27">
        <f t="shared" ca="1" si="62"/>
        <v>0.75088149608974619</v>
      </c>
      <c r="V157" s="50">
        <f t="shared" ca="1" si="79"/>
        <v>3</v>
      </c>
      <c r="W157" s="50">
        <f t="shared" ca="1" si="63"/>
        <v>22.526444882692388</v>
      </c>
      <c r="X157" s="50">
        <f t="shared" ca="1" si="72"/>
        <v>46</v>
      </c>
      <c r="Y157" s="50">
        <f t="shared" ca="1" si="73"/>
        <v>2</v>
      </c>
      <c r="Z157" s="18">
        <f t="shared" ca="1" si="74"/>
        <v>800</v>
      </c>
      <c r="AA157" s="50">
        <f t="shared" ca="1" si="75"/>
        <v>48</v>
      </c>
      <c r="AB157" s="50">
        <f t="shared" ca="1" si="64"/>
        <v>4.5052889765384778</v>
      </c>
      <c r="AC157" s="18">
        <f t="shared" ca="1" si="65"/>
        <v>1802.1155906153911</v>
      </c>
      <c r="AD157" s="18">
        <f t="shared" ca="1" si="66"/>
        <v>240</v>
      </c>
      <c r="AE157" s="18">
        <f t="shared" si="76"/>
        <v>120</v>
      </c>
      <c r="AF157" s="18">
        <f t="shared" ca="1" si="77"/>
        <v>45</v>
      </c>
      <c r="AG157" s="18">
        <f t="shared" ca="1" si="67"/>
        <v>2207.1155906153908</v>
      </c>
    </row>
    <row r="158" spans="13:33" x14ac:dyDescent="0.3">
      <c r="M158" s="49">
        <v>157</v>
      </c>
      <c r="N158" s="50">
        <f t="shared" ca="1" si="68"/>
        <v>7</v>
      </c>
      <c r="O158" s="50">
        <f t="shared" ca="1" si="69"/>
        <v>5</v>
      </c>
      <c r="P158" s="50">
        <f t="shared" ca="1" si="78"/>
        <v>194.73800394423148</v>
      </c>
      <c r="Q158" s="50">
        <f t="shared" ca="1" si="70"/>
        <v>199.73800394423148</v>
      </c>
      <c r="R158" s="50">
        <f t="shared" ca="1" si="71"/>
        <v>47</v>
      </c>
      <c r="S158" s="50">
        <f t="shared" ca="1" si="60"/>
        <v>6</v>
      </c>
      <c r="T158" s="50">
        <f t="shared" ca="1" si="61"/>
        <v>193.73800394423148</v>
      </c>
      <c r="U158" s="27">
        <f t="shared" ca="1" si="62"/>
        <v>0.6657933464807716</v>
      </c>
      <c r="V158" s="50">
        <f t="shared" ca="1" si="79"/>
        <v>3</v>
      </c>
      <c r="W158" s="50" t="str">
        <f t="shared" ca="1" si="63"/>
        <v>-</v>
      </c>
      <c r="X158" s="50">
        <f t="shared" ca="1" si="72"/>
        <v>90</v>
      </c>
      <c r="Y158" s="50">
        <f t="shared" ca="1" si="73"/>
        <v>3</v>
      </c>
      <c r="Z158" s="18">
        <f t="shared" ca="1" si="74"/>
        <v>1200</v>
      </c>
      <c r="AA158" s="50">
        <f t="shared" ca="1" si="75"/>
        <v>87</v>
      </c>
      <c r="AB158" s="50" t="str">
        <f t="shared" ca="1" si="64"/>
        <v>-</v>
      </c>
      <c r="AC158" s="18" t="str">
        <f t="shared" ca="1" si="65"/>
        <v>0</v>
      </c>
      <c r="AD158" s="18">
        <f t="shared" ca="1" si="66"/>
        <v>360</v>
      </c>
      <c r="AE158" s="18">
        <f t="shared" si="76"/>
        <v>120</v>
      </c>
      <c r="AF158" s="18">
        <f t="shared" ca="1" si="77"/>
        <v>45</v>
      </c>
      <c r="AG158" s="18">
        <f t="shared" ca="1" si="67"/>
        <v>525</v>
      </c>
    </row>
    <row r="159" spans="13:33" x14ac:dyDescent="0.3">
      <c r="M159" s="49">
        <v>158</v>
      </c>
      <c r="N159" s="50">
        <f t="shared" ca="1" si="68"/>
        <v>84</v>
      </c>
      <c r="O159" s="50">
        <f t="shared" ca="1" si="69"/>
        <v>12</v>
      </c>
      <c r="P159" s="50">
        <f t="shared" ca="1" si="78"/>
        <v>193.73800394423148</v>
      </c>
      <c r="Q159" s="50">
        <f t="shared" ca="1" si="70"/>
        <v>205.73800394423148</v>
      </c>
      <c r="R159" s="50">
        <f t="shared" ca="1" si="71"/>
        <v>81</v>
      </c>
      <c r="S159" s="50">
        <f t="shared" ca="1" si="60"/>
        <v>8</v>
      </c>
      <c r="T159" s="50">
        <f t="shared" ca="1" si="61"/>
        <v>197.73800394423148</v>
      </c>
      <c r="U159" s="27">
        <f t="shared" ca="1" si="62"/>
        <v>0.68579334648077162</v>
      </c>
      <c r="V159" s="50">
        <f t="shared" ca="1" si="79"/>
        <v>3</v>
      </c>
      <c r="W159" s="50" t="str">
        <f t="shared" ca="1" si="63"/>
        <v>-</v>
      </c>
      <c r="X159" s="50">
        <f t="shared" ca="1" si="72"/>
        <v>64</v>
      </c>
      <c r="Y159" s="50">
        <f t="shared" ca="1" si="73"/>
        <v>3</v>
      </c>
      <c r="Z159" s="18">
        <f t="shared" ca="1" si="74"/>
        <v>1200</v>
      </c>
      <c r="AA159" s="50">
        <f t="shared" ca="1" si="75"/>
        <v>66</v>
      </c>
      <c r="AB159" s="50" t="str">
        <f t="shared" ca="1" si="64"/>
        <v>-</v>
      </c>
      <c r="AC159" s="18" t="str">
        <f t="shared" ca="1" si="65"/>
        <v>0</v>
      </c>
      <c r="AD159" s="18">
        <f t="shared" ca="1" si="66"/>
        <v>360</v>
      </c>
      <c r="AE159" s="18">
        <f t="shared" si="76"/>
        <v>120</v>
      </c>
      <c r="AF159" s="18">
        <f t="shared" ca="1" si="77"/>
        <v>45</v>
      </c>
      <c r="AG159" s="18">
        <f t="shared" ca="1" si="67"/>
        <v>525</v>
      </c>
    </row>
    <row r="160" spans="13:33" x14ac:dyDescent="0.3">
      <c r="M160" s="49">
        <v>159</v>
      </c>
      <c r="N160" s="50">
        <f t="shared" ca="1" si="68"/>
        <v>15</v>
      </c>
      <c r="O160" s="50">
        <f t="shared" ca="1" si="69"/>
        <v>5</v>
      </c>
      <c r="P160" s="50">
        <f t="shared" ca="1" si="78"/>
        <v>197.73800394423148</v>
      </c>
      <c r="Q160" s="50">
        <f t="shared" ca="1" si="70"/>
        <v>202.73800394423148</v>
      </c>
      <c r="R160" s="50">
        <f t="shared" ca="1" si="71"/>
        <v>64</v>
      </c>
      <c r="S160" s="50">
        <f t="shared" ca="1" si="60"/>
        <v>6</v>
      </c>
      <c r="T160" s="50">
        <f t="shared" ca="1" si="61"/>
        <v>196.73800394423148</v>
      </c>
      <c r="U160" s="27">
        <f t="shared" ca="1" si="62"/>
        <v>0.67579334648077161</v>
      </c>
      <c r="V160" s="50">
        <f t="shared" ca="1" si="79"/>
        <v>3</v>
      </c>
      <c r="W160" s="50" t="str">
        <f t="shared" ca="1" si="63"/>
        <v>-</v>
      </c>
      <c r="X160" s="50">
        <f t="shared" ca="1" si="72"/>
        <v>5</v>
      </c>
      <c r="Y160" s="50">
        <f t="shared" ca="1" si="73"/>
        <v>1</v>
      </c>
      <c r="Z160" s="18">
        <f t="shared" ca="1" si="74"/>
        <v>400</v>
      </c>
      <c r="AA160" s="50">
        <f t="shared" ca="1" si="75"/>
        <v>55</v>
      </c>
      <c r="AB160" s="50" t="str">
        <f t="shared" ca="1" si="64"/>
        <v>-</v>
      </c>
      <c r="AC160" s="18" t="str">
        <f t="shared" ca="1" si="65"/>
        <v>0</v>
      </c>
      <c r="AD160" s="18">
        <f t="shared" ca="1" si="66"/>
        <v>120</v>
      </c>
      <c r="AE160" s="18">
        <f t="shared" si="76"/>
        <v>120</v>
      </c>
      <c r="AF160" s="18">
        <f t="shared" ca="1" si="77"/>
        <v>45</v>
      </c>
      <c r="AG160" s="18">
        <f t="shared" ca="1" si="67"/>
        <v>285</v>
      </c>
    </row>
    <row r="161" spans="13:33" x14ac:dyDescent="0.3">
      <c r="M161" s="49">
        <v>160</v>
      </c>
      <c r="N161" s="50">
        <f t="shared" ca="1" si="68"/>
        <v>87</v>
      </c>
      <c r="O161" s="50">
        <f t="shared" ca="1" si="69"/>
        <v>12</v>
      </c>
      <c r="P161" s="50">
        <f t="shared" ca="1" si="78"/>
        <v>196.73800394423148</v>
      </c>
      <c r="Q161" s="50">
        <f t="shared" ca="1" si="70"/>
        <v>208.73800394423148</v>
      </c>
      <c r="R161" s="50">
        <f t="shared" ca="1" si="71"/>
        <v>53</v>
      </c>
      <c r="S161" s="50">
        <f t="shared" ca="1" si="60"/>
        <v>6</v>
      </c>
      <c r="T161" s="50">
        <f t="shared" ca="1" si="61"/>
        <v>202.73800394423148</v>
      </c>
      <c r="U161" s="27">
        <f t="shared" ca="1" si="62"/>
        <v>0.69579334648077162</v>
      </c>
      <c r="V161" s="50">
        <f t="shared" ca="1" si="79"/>
        <v>3</v>
      </c>
      <c r="W161" s="50" t="str">
        <f t="shared" ca="1" si="63"/>
        <v>-</v>
      </c>
      <c r="X161" s="50">
        <f t="shared" ca="1" si="72"/>
        <v>75</v>
      </c>
      <c r="Y161" s="50">
        <f t="shared" ca="1" si="73"/>
        <v>2</v>
      </c>
      <c r="Z161" s="18">
        <f t="shared" ca="1" si="74"/>
        <v>800</v>
      </c>
      <c r="AA161" s="50">
        <f t="shared" ca="1" si="75"/>
        <v>32</v>
      </c>
      <c r="AB161" s="50" t="str">
        <f t="shared" ca="1" si="64"/>
        <v>-</v>
      </c>
      <c r="AC161" s="18" t="str">
        <f t="shared" ca="1" si="65"/>
        <v>0</v>
      </c>
      <c r="AD161" s="18">
        <f t="shared" ca="1" si="66"/>
        <v>240</v>
      </c>
      <c r="AE161" s="18">
        <f t="shared" si="76"/>
        <v>120</v>
      </c>
      <c r="AF161" s="18">
        <f t="shared" ca="1" si="77"/>
        <v>45</v>
      </c>
      <c r="AG161" s="18">
        <f t="shared" ca="1" si="67"/>
        <v>405</v>
      </c>
    </row>
    <row r="162" spans="13:33" x14ac:dyDescent="0.3">
      <c r="M162" s="49">
        <v>161</v>
      </c>
      <c r="N162" s="50">
        <f t="shared" ca="1" si="68"/>
        <v>26</v>
      </c>
      <c r="O162" s="50">
        <f t="shared" ca="1" si="69"/>
        <v>5</v>
      </c>
      <c r="P162" s="50">
        <f t="shared" ca="1" si="78"/>
        <v>202.73800394423148</v>
      </c>
      <c r="Q162" s="50">
        <f t="shared" ca="1" si="70"/>
        <v>207.73800394423148</v>
      </c>
      <c r="R162" s="50">
        <f t="shared" ca="1" si="71"/>
        <v>56</v>
      </c>
      <c r="S162" s="50">
        <f t="shared" ref="S162:S181" ca="1" si="80">MIN(Q162,LOOKUP(R162,$D$15:$E$18,$A$15:$A$18))</f>
        <v>6</v>
      </c>
      <c r="T162" s="50">
        <f t="shared" ref="T162:T181" ca="1" si="81">IF(W162&lt;&gt;"-",Q162-S162-W162,Q162-S162)</f>
        <v>201.73800394423148</v>
      </c>
      <c r="U162" s="27">
        <f t="shared" ref="U162:U181" ca="1" si="82">Q162/($J$2*V162)</f>
        <v>0.69246001314743821</v>
      </c>
      <c r="V162" s="50">
        <f t="shared" ca="1" si="79"/>
        <v>3</v>
      </c>
      <c r="W162" s="50" t="str">
        <f t="shared" ref="W162:W181" ca="1" si="83">IF(U162&gt;=$J$7,Q162*$J$6,"-")</f>
        <v>-</v>
      </c>
      <c r="X162" s="50">
        <f t="shared" ca="1" si="72"/>
        <v>98</v>
      </c>
      <c r="Y162" s="50">
        <f t="shared" ca="1" si="73"/>
        <v>5</v>
      </c>
      <c r="Z162" s="18">
        <f t="shared" ca="1" si="74"/>
        <v>2000</v>
      </c>
      <c r="AA162" s="50">
        <f t="shared" ca="1" si="75"/>
        <v>2</v>
      </c>
      <c r="AB162" s="50" t="str">
        <f t="shared" ref="AB162:AB181" ca="1" si="84">IF(W162&lt;&gt;"-",LOOKUP(AA162,$D$24:$E$29,$A$24:$A$29)*W162,"-")</f>
        <v>-</v>
      </c>
      <c r="AC162" s="18" t="str">
        <f t="shared" ref="AC162:AC181" ca="1" si="85">IF(AB162&lt;&gt;"-",AB162*$J$10,"0")</f>
        <v>0</v>
      </c>
      <c r="AD162" s="18">
        <f t="shared" ref="AD162:AD181" ca="1" si="86">Z162*$J$12</f>
        <v>600</v>
      </c>
      <c r="AE162" s="18">
        <f t="shared" si="76"/>
        <v>120</v>
      </c>
      <c r="AF162" s="18">
        <f t="shared" ca="1" si="77"/>
        <v>45</v>
      </c>
      <c r="AG162" s="18">
        <f t="shared" ca="1" si="67"/>
        <v>765</v>
      </c>
    </row>
    <row r="163" spans="13:33" x14ac:dyDescent="0.3">
      <c r="M163" s="49">
        <v>162</v>
      </c>
      <c r="N163" s="50">
        <f t="shared" ca="1" si="68"/>
        <v>33</v>
      </c>
      <c r="O163" s="50">
        <f t="shared" ca="1" si="69"/>
        <v>5</v>
      </c>
      <c r="P163" s="50">
        <f t="shared" ca="1" si="78"/>
        <v>201.73800394423148</v>
      </c>
      <c r="Q163" s="50">
        <f t="shared" ca="1" si="70"/>
        <v>206.73800394423148</v>
      </c>
      <c r="R163" s="50">
        <f t="shared" ca="1" si="71"/>
        <v>78</v>
      </c>
      <c r="S163" s="50">
        <f t="shared" ca="1" si="80"/>
        <v>8</v>
      </c>
      <c r="T163" s="50">
        <f t="shared" ca="1" si="81"/>
        <v>198.73800394423148</v>
      </c>
      <c r="U163" s="27">
        <f t="shared" ca="1" si="82"/>
        <v>0.68912667981410491</v>
      </c>
      <c r="V163" s="50">
        <f t="shared" ca="1" si="79"/>
        <v>3</v>
      </c>
      <c r="W163" s="50" t="str">
        <f t="shared" ca="1" si="83"/>
        <v>-</v>
      </c>
      <c r="X163" s="50">
        <f t="shared" ca="1" si="72"/>
        <v>14</v>
      </c>
      <c r="Y163" s="50">
        <f t="shared" ca="1" si="73"/>
        <v>2</v>
      </c>
      <c r="Z163" s="18">
        <f t="shared" ca="1" si="74"/>
        <v>800</v>
      </c>
      <c r="AA163" s="50">
        <f t="shared" ca="1" si="75"/>
        <v>14</v>
      </c>
      <c r="AB163" s="50" t="str">
        <f t="shared" ca="1" si="84"/>
        <v>-</v>
      </c>
      <c r="AC163" s="18" t="str">
        <f t="shared" ca="1" si="85"/>
        <v>0</v>
      </c>
      <c r="AD163" s="18">
        <f t="shared" ca="1" si="86"/>
        <v>240</v>
      </c>
      <c r="AE163" s="18">
        <f t="shared" si="76"/>
        <v>120</v>
      </c>
      <c r="AF163" s="18">
        <f t="shared" ref="AF163:AF181" ca="1" si="87">IF(V163&gt;V162,($J$9*V163)+$J$8*(V163-V162),$J$9*V163)</f>
        <v>45</v>
      </c>
      <c r="AG163" s="18">
        <f t="shared" ca="1" si="67"/>
        <v>405</v>
      </c>
    </row>
    <row r="164" spans="13:33" x14ac:dyDescent="0.3">
      <c r="M164" s="49">
        <v>163</v>
      </c>
      <c r="N164" s="50">
        <f t="shared" ca="1" si="68"/>
        <v>55</v>
      </c>
      <c r="O164" s="50">
        <f t="shared" ca="1" si="69"/>
        <v>8</v>
      </c>
      <c r="P164" s="50">
        <f t="shared" ca="1" si="78"/>
        <v>198.73800394423148</v>
      </c>
      <c r="Q164" s="50">
        <f t="shared" ca="1" si="70"/>
        <v>206.73800394423148</v>
      </c>
      <c r="R164" s="50">
        <f t="shared" ca="1" si="71"/>
        <v>13</v>
      </c>
      <c r="S164" s="50">
        <f t="shared" ca="1" si="80"/>
        <v>2</v>
      </c>
      <c r="T164" s="50">
        <f t="shared" ca="1" si="81"/>
        <v>204.73800394423148</v>
      </c>
      <c r="U164" s="27">
        <f t="shared" ca="1" si="82"/>
        <v>0.68912667981410491</v>
      </c>
      <c r="V164" s="50">
        <f t="shared" ca="1" si="79"/>
        <v>3</v>
      </c>
      <c r="W164" s="50" t="str">
        <f t="shared" ca="1" si="83"/>
        <v>-</v>
      </c>
      <c r="X164" s="50">
        <f t="shared" ca="1" si="72"/>
        <v>27</v>
      </c>
      <c r="Y164" s="50">
        <f t="shared" ca="1" si="73"/>
        <v>0</v>
      </c>
      <c r="Z164" s="18">
        <f t="shared" ca="1" si="74"/>
        <v>0</v>
      </c>
      <c r="AA164" s="50">
        <f t="shared" ca="1" si="75"/>
        <v>30</v>
      </c>
      <c r="AB164" s="50" t="str">
        <f t="shared" ca="1" si="84"/>
        <v>-</v>
      </c>
      <c r="AC164" s="18" t="str">
        <f t="shared" ca="1" si="85"/>
        <v>0</v>
      </c>
      <c r="AD164" s="18">
        <f t="shared" ca="1" si="86"/>
        <v>0</v>
      </c>
      <c r="AE164" s="18">
        <f t="shared" si="76"/>
        <v>120</v>
      </c>
      <c r="AF164" s="18">
        <f t="shared" ca="1" si="87"/>
        <v>45</v>
      </c>
      <c r="AG164" s="18">
        <f t="shared" ca="1" si="67"/>
        <v>165</v>
      </c>
    </row>
    <row r="165" spans="13:33" x14ac:dyDescent="0.3">
      <c r="M165" s="49">
        <v>164</v>
      </c>
      <c r="N165" s="50">
        <f t="shared" ca="1" si="68"/>
        <v>100</v>
      </c>
      <c r="O165" s="50">
        <f t="shared" ca="1" si="69"/>
        <v>20</v>
      </c>
      <c r="P165" s="50">
        <f t="shared" ca="1" si="78"/>
        <v>204.73800394423148</v>
      </c>
      <c r="Q165" s="50">
        <f t="shared" ca="1" si="70"/>
        <v>224.73800394423148</v>
      </c>
      <c r="R165" s="50">
        <f t="shared" ca="1" si="71"/>
        <v>35</v>
      </c>
      <c r="S165" s="50">
        <f t="shared" ca="1" si="80"/>
        <v>4</v>
      </c>
      <c r="T165" s="50">
        <f t="shared" ca="1" si="81"/>
        <v>220.73800394423148</v>
      </c>
      <c r="U165" s="27">
        <f t="shared" ca="1" si="82"/>
        <v>0.74912667981410497</v>
      </c>
      <c r="V165" s="50">
        <f t="shared" ca="1" si="79"/>
        <v>3</v>
      </c>
      <c r="W165" s="50" t="str">
        <f t="shared" ca="1" si="83"/>
        <v>-</v>
      </c>
      <c r="X165" s="50">
        <f t="shared" ca="1" si="72"/>
        <v>10</v>
      </c>
      <c r="Y165" s="50">
        <f t="shared" ca="1" si="73"/>
        <v>1</v>
      </c>
      <c r="Z165" s="18">
        <f t="shared" ca="1" si="74"/>
        <v>400</v>
      </c>
      <c r="AA165" s="50">
        <f t="shared" ca="1" si="75"/>
        <v>93</v>
      </c>
      <c r="AB165" s="50" t="str">
        <f t="shared" ca="1" si="84"/>
        <v>-</v>
      </c>
      <c r="AC165" s="18" t="str">
        <f t="shared" ca="1" si="85"/>
        <v>0</v>
      </c>
      <c r="AD165" s="18">
        <f t="shared" ca="1" si="86"/>
        <v>120</v>
      </c>
      <c r="AE165" s="18">
        <f t="shared" si="76"/>
        <v>120</v>
      </c>
      <c r="AF165" s="18">
        <f t="shared" ca="1" si="87"/>
        <v>45</v>
      </c>
      <c r="AG165" s="18">
        <f t="shared" ca="1" si="67"/>
        <v>285</v>
      </c>
    </row>
    <row r="166" spans="13:33" x14ac:dyDescent="0.3">
      <c r="M166" s="49">
        <v>165</v>
      </c>
      <c r="N166" s="50">
        <f t="shared" ca="1" si="68"/>
        <v>10</v>
      </c>
      <c r="O166" s="50">
        <f t="shared" ca="1" si="69"/>
        <v>5</v>
      </c>
      <c r="P166" s="50">
        <f t="shared" ca="1" si="78"/>
        <v>220.73800394423148</v>
      </c>
      <c r="Q166" s="50">
        <f t="shared" ca="1" si="70"/>
        <v>225.73800394423148</v>
      </c>
      <c r="R166" s="50">
        <f t="shared" ca="1" si="71"/>
        <v>13</v>
      </c>
      <c r="S166" s="50">
        <f t="shared" ca="1" si="80"/>
        <v>2</v>
      </c>
      <c r="T166" s="50">
        <f t="shared" ca="1" si="81"/>
        <v>201.16420354980832</v>
      </c>
      <c r="U166" s="27">
        <f t="shared" ca="1" si="82"/>
        <v>0.75246001314743827</v>
      </c>
      <c r="V166" s="50">
        <f t="shared" ca="1" si="79"/>
        <v>3</v>
      </c>
      <c r="W166" s="50">
        <f t="shared" ca="1" si="83"/>
        <v>22.573800394423149</v>
      </c>
      <c r="X166" s="50">
        <f t="shared" ca="1" si="72"/>
        <v>27</v>
      </c>
      <c r="Y166" s="50">
        <f t="shared" ca="1" si="73"/>
        <v>0</v>
      </c>
      <c r="Z166" s="18">
        <f t="shared" ca="1" si="74"/>
        <v>0</v>
      </c>
      <c r="AA166" s="50">
        <f t="shared" ca="1" si="75"/>
        <v>81</v>
      </c>
      <c r="AB166" s="50">
        <f t="shared" ca="1" si="84"/>
        <v>11.286900197211574</v>
      </c>
      <c r="AC166" s="18">
        <f t="shared" ca="1" si="85"/>
        <v>4514.7600788846294</v>
      </c>
      <c r="AD166" s="18">
        <f t="shared" ca="1" si="86"/>
        <v>0</v>
      </c>
      <c r="AE166" s="18">
        <f t="shared" si="76"/>
        <v>120</v>
      </c>
      <c r="AF166" s="18">
        <f t="shared" ca="1" si="87"/>
        <v>45</v>
      </c>
      <c r="AG166" s="18">
        <f t="shared" ca="1" si="67"/>
        <v>4679.7600788846294</v>
      </c>
    </row>
    <row r="167" spans="13:33" x14ac:dyDescent="0.3">
      <c r="M167" s="49">
        <v>166</v>
      </c>
      <c r="N167" s="50">
        <f t="shared" ca="1" si="68"/>
        <v>11</v>
      </c>
      <c r="O167" s="50">
        <f t="shared" ca="1" si="69"/>
        <v>5</v>
      </c>
      <c r="P167" s="50">
        <f t="shared" ca="1" si="78"/>
        <v>201.16420354980832</v>
      </c>
      <c r="Q167" s="50">
        <f t="shared" ca="1" si="70"/>
        <v>206.16420354980832</v>
      </c>
      <c r="R167" s="50">
        <f t="shared" ca="1" si="71"/>
        <v>36</v>
      </c>
      <c r="S167" s="50">
        <f t="shared" ca="1" si="80"/>
        <v>4</v>
      </c>
      <c r="T167" s="50">
        <f t="shared" ca="1" si="81"/>
        <v>202.16420354980832</v>
      </c>
      <c r="U167" s="27">
        <f t="shared" ca="1" si="82"/>
        <v>0.68721401183269437</v>
      </c>
      <c r="V167" s="50">
        <f t="shared" ca="1" si="79"/>
        <v>3</v>
      </c>
      <c r="W167" s="50" t="str">
        <f t="shared" ca="1" si="83"/>
        <v>-</v>
      </c>
      <c r="X167" s="50">
        <f t="shared" ca="1" si="72"/>
        <v>96</v>
      </c>
      <c r="Y167" s="50">
        <f t="shared" ca="1" si="73"/>
        <v>2</v>
      </c>
      <c r="Z167" s="18">
        <f t="shared" ca="1" si="74"/>
        <v>800</v>
      </c>
      <c r="AA167" s="50">
        <f t="shared" ca="1" si="75"/>
        <v>43</v>
      </c>
      <c r="AB167" s="50" t="str">
        <f t="shared" ca="1" si="84"/>
        <v>-</v>
      </c>
      <c r="AC167" s="18" t="str">
        <f t="shared" ca="1" si="85"/>
        <v>0</v>
      </c>
      <c r="AD167" s="18">
        <f t="shared" ca="1" si="86"/>
        <v>240</v>
      </c>
      <c r="AE167" s="18">
        <f t="shared" si="76"/>
        <v>120</v>
      </c>
      <c r="AF167" s="18">
        <f t="shared" ca="1" si="87"/>
        <v>45</v>
      </c>
      <c r="AG167" s="18">
        <f t="shared" ca="1" si="67"/>
        <v>405</v>
      </c>
    </row>
    <row r="168" spans="13:33" x14ac:dyDescent="0.3">
      <c r="M168" s="49">
        <v>167</v>
      </c>
      <c r="N168" s="50">
        <f t="shared" ca="1" si="68"/>
        <v>70</v>
      </c>
      <c r="O168" s="50">
        <f t="shared" ca="1" si="69"/>
        <v>8</v>
      </c>
      <c r="P168" s="50">
        <f t="shared" ca="1" si="78"/>
        <v>202.16420354980832</v>
      </c>
      <c r="Q168" s="50">
        <f t="shared" ca="1" si="70"/>
        <v>210.16420354980832</v>
      </c>
      <c r="R168" s="50">
        <f t="shared" ca="1" si="71"/>
        <v>59</v>
      </c>
      <c r="S168" s="50">
        <f t="shared" ca="1" si="80"/>
        <v>6</v>
      </c>
      <c r="T168" s="50">
        <f t="shared" ca="1" si="81"/>
        <v>204.16420354980832</v>
      </c>
      <c r="U168" s="27">
        <f t="shared" ca="1" si="82"/>
        <v>0.70054734516602768</v>
      </c>
      <c r="V168" s="50">
        <f t="shared" ca="1" si="79"/>
        <v>3</v>
      </c>
      <c r="W168" s="50" t="str">
        <f t="shared" ca="1" si="83"/>
        <v>-</v>
      </c>
      <c r="X168" s="50">
        <f t="shared" ca="1" si="72"/>
        <v>78</v>
      </c>
      <c r="Y168" s="50">
        <f t="shared" ca="1" si="73"/>
        <v>2</v>
      </c>
      <c r="Z168" s="18">
        <f t="shared" ca="1" si="74"/>
        <v>800</v>
      </c>
      <c r="AA168" s="50">
        <f t="shared" ca="1" si="75"/>
        <v>38</v>
      </c>
      <c r="AB168" s="50" t="str">
        <f t="shared" ca="1" si="84"/>
        <v>-</v>
      </c>
      <c r="AC168" s="18" t="str">
        <f t="shared" ca="1" si="85"/>
        <v>0</v>
      </c>
      <c r="AD168" s="18">
        <f t="shared" ca="1" si="86"/>
        <v>240</v>
      </c>
      <c r="AE168" s="18">
        <f t="shared" si="76"/>
        <v>120</v>
      </c>
      <c r="AF168" s="18">
        <f t="shared" ca="1" si="87"/>
        <v>45</v>
      </c>
      <c r="AG168" s="18">
        <f t="shared" ca="1" si="67"/>
        <v>405</v>
      </c>
    </row>
    <row r="169" spans="13:33" x14ac:dyDescent="0.3">
      <c r="M169" s="49">
        <v>168</v>
      </c>
      <c r="N169" s="50">
        <f t="shared" ca="1" si="68"/>
        <v>7</v>
      </c>
      <c r="O169" s="50">
        <f t="shared" ca="1" si="69"/>
        <v>5</v>
      </c>
      <c r="P169" s="50">
        <f t="shared" ca="1" si="78"/>
        <v>204.16420354980832</v>
      </c>
      <c r="Q169" s="50">
        <f t="shared" ca="1" si="70"/>
        <v>209.16420354980832</v>
      </c>
      <c r="R169" s="50">
        <f t="shared" ca="1" si="71"/>
        <v>19</v>
      </c>
      <c r="S169" s="50">
        <f t="shared" ca="1" si="80"/>
        <v>4</v>
      </c>
      <c r="T169" s="50">
        <f t="shared" ca="1" si="81"/>
        <v>205.16420354980832</v>
      </c>
      <c r="U169" s="27">
        <f t="shared" ca="1" si="82"/>
        <v>0.69721401183269438</v>
      </c>
      <c r="V169" s="50">
        <f t="shared" ca="1" si="79"/>
        <v>3</v>
      </c>
      <c r="W169" s="50" t="str">
        <f t="shared" ca="1" si="83"/>
        <v>-</v>
      </c>
      <c r="X169" s="50">
        <f t="shared" ca="1" si="72"/>
        <v>91</v>
      </c>
      <c r="Y169" s="50">
        <f t="shared" ca="1" si="73"/>
        <v>2</v>
      </c>
      <c r="Z169" s="18">
        <f t="shared" ca="1" si="74"/>
        <v>800</v>
      </c>
      <c r="AA169" s="50">
        <f t="shared" ca="1" si="75"/>
        <v>60</v>
      </c>
      <c r="AB169" s="50" t="str">
        <f t="shared" ca="1" si="84"/>
        <v>-</v>
      </c>
      <c r="AC169" s="18" t="str">
        <f t="shared" ca="1" si="85"/>
        <v>0</v>
      </c>
      <c r="AD169" s="18">
        <f t="shared" ca="1" si="86"/>
        <v>240</v>
      </c>
      <c r="AE169" s="18">
        <f t="shared" si="76"/>
        <v>120</v>
      </c>
      <c r="AF169" s="18">
        <f t="shared" ca="1" si="87"/>
        <v>45</v>
      </c>
      <c r="AG169" s="18">
        <f t="shared" ca="1" si="67"/>
        <v>405</v>
      </c>
    </row>
    <row r="170" spans="13:33" x14ac:dyDescent="0.3">
      <c r="M170" s="49">
        <v>169</v>
      </c>
      <c r="N170" s="50">
        <f t="shared" ca="1" si="68"/>
        <v>9</v>
      </c>
      <c r="O170" s="50">
        <f t="shared" ca="1" si="69"/>
        <v>5</v>
      </c>
      <c r="P170" s="50">
        <f t="shared" ca="1" si="78"/>
        <v>205.16420354980832</v>
      </c>
      <c r="Q170" s="50">
        <f t="shared" ca="1" si="70"/>
        <v>210.16420354980832</v>
      </c>
      <c r="R170" s="50">
        <f t="shared" ca="1" si="71"/>
        <v>53</v>
      </c>
      <c r="S170" s="50">
        <f t="shared" ca="1" si="80"/>
        <v>6</v>
      </c>
      <c r="T170" s="50">
        <f t="shared" ca="1" si="81"/>
        <v>204.16420354980832</v>
      </c>
      <c r="U170" s="27">
        <f t="shared" ca="1" si="82"/>
        <v>0.70054734516602768</v>
      </c>
      <c r="V170" s="50">
        <f t="shared" ca="1" si="79"/>
        <v>3</v>
      </c>
      <c r="W170" s="50" t="str">
        <f t="shared" ca="1" si="83"/>
        <v>-</v>
      </c>
      <c r="X170" s="50">
        <f t="shared" ca="1" si="72"/>
        <v>27</v>
      </c>
      <c r="Y170" s="50">
        <f t="shared" ca="1" si="73"/>
        <v>1</v>
      </c>
      <c r="Z170" s="18">
        <f t="shared" ca="1" si="74"/>
        <v>400</v>
      </c>
      <c r="AA170" s="50">
        <f t="shared" ca="1" si="75"/>
        <v>49</v>
      </c>
      <c r="AB170" s="50" t="str">
        <f t="shared" ca="1" si="84"/>
        <v>-</v>
      </c>
      <c r="AC170" s="18" t="str">
        <f t="shared" ca="1" si="85"/>
        <v>0</v>
      </c>
      <c r="AD170" s="18">
        <f t="shared" ca="1" si="86"/>
        <v>120</v>
      </c>
      <c r="AE170" s="18">
        <f t="shared" si="76"/>
        <v>120</v>
      </c>
      <c r="AF170" s="18">
        <f t="shared" ca="1" si="87"/>
        <v>45</v>
      </c>
      <c r="AG170" s="18">
        <f t="shared" ca="1" si="67"/>
        <v>285</v>
      </c>
    </row>
    <row r="171" spans="13:33" x14ac:dyDescent="0.3">
      <c r="M171" s="49">
        <v>170</v>
      </c>
      <c r="N171" s="50">
        <f t="shared" ca="1" si="68"/>
        <v>97</v>
      </c>
      <c r="O171" s="50">
        <f t="shared" ca="1" si="69"/>
        <v>18</v>
      </c>
      <c r="P171" s="50">
        <f t="shared" ca="1" si="78"/>
        <v>204.16420354980832</v>
      </c>
      <c r="Q171" s="50">
        <f t="shared" ca="1" si="70"/>
        <v>222.16420354980832</v>
      </c>
      <c r="R171" s="50">
        <f t="shared" ca="1" si="71"/>
        <v>38</v>
      </c>
      <c r="S171" s="50">
        <f t="shared" ca="1" si="80"/>
        <v>4</v>
      </c>
      <c r="T171" s="50">
        <f t="shared" ca="1" si="81"/>
        <v>218.16420354980832</v>
      </c>
      <c r="U171" s="27">
        <f t="shared" ca="1" si="82"/>
        <v>0.74054734516602772</v>
      </c>
      <c r="V171" s="50">
        <f t="shared" ca="1" si="79"/>
        <v>3</v>
      </c>
      <c r="W171" s="50" t="str">
        <f t="shared" ca="1" si="83"/>
        <v>-</v>
      </c>
      <c r="X171" s="50">
        <f t="shared" ca="1" si="72"/>
        <v>15</v>
      </c>
      <c r="Y171" s="50">
        <f t="shared" ca="1" si="73"/>
        <v>1</v>
      </c>
      <c r="Z171" s="18">
        <f t="shared" ca="1" si="74"/>
        <v>400</v>
      </c>
      <c r="AA171" s="50">
        <f t="shared" ca="1" si="75"/>
        <v>12</v>
      </c>
      <c r="AB171" s="50" t="str">
        <f t="shared" ca="1" si="84"/>
        <v>-</v>
      </c>
      <c r="AC171" s="18" t="str">
        <f t="shared" ca="1" si="85"/>
        <v>0</v>
      </c>
      <c r="AD171" s="18">
        <f t="shared" ca="1" si="86"/>
        <v>120</v>
      </c>
      <c r="AE171" s="18">
        <f t="shared" si="76"/>
        <v>120</v>
      </c>
      <c r="AF171" s="18">
        <f t="shared" ca="1" si="87"/>
        <v>45</v>
      </c>
      <c r="AG171" s="18">
        <f t="shared" ca="1" si="67"/>
        <v>285</v>
      </c>
    </row>
    <row r="172" spans="13:33" x14ac:dyDescent="0.3">
      <c r="M172" s="49">
        <v>171</v>
      </c>
      <c r="N172" s="50">
        <f t="shared" ca="1" si="68"/>
        <v>62</v>
      </c>
      <c r="O172" s="50">
        <f t="shared" ca="1" si="69"/>
        <v>8</v>
      </c>
      <c r="P172" s="50">
        <f t="shared" ca="1" si="78"/>
        <v>218.16420354980832</v>
      </c>
      <c r="Q172" s="50">
        <f t="shared" ca="1" si="70"/>
        <v>226.16420354980832</v>
      </c>
      <c r="R172" s="50">
        <f t="shared" ca="1" si="71"/>
        <v>13</v>
      </c>
      <c r="S172" s="50">
        <f t="shared" ca="1" si="80"/>
        <v>2</v>
      </c>
      <c r="T172" s="50">
        <f t="shared" ca="1" si="81"/>
        <v>201.5477831948275</v>
      </c>
      <c r="U172" s="27">
        <f t="shared" ca="1" si="82"/>
        <v>0.75388067849936102</v>
      </c>
      <c r="V172" s="50">
        <f t="shared" ca="1" si="79"/>
        <v>3</v>
      </c>
      <c r="W172" s="50">
        <f t="shared" ca="1" si="83"/>
        <v>22.616420354980832</v>
      </c>
      <c r="X172" s="50">
        <f t="shared" ca="1" si="72"/>
        <v>88</v>
      </c>
      <c r="Y172" s="50">
        <f t="shared" ca="1" si="73"/>
        <v>1</v>
      </c>
      <c r="Z172" s="18">
        <f t="shared" ca="1" si="74"/>
        <v>400</v>
      </c>
      <c r="AA172" s="50">
        <f t="shared" ca="1" si="75"/>
        <v>1</v>
      </c>
      <c r="AB172" s="50">
        <f t="shared" ca="1" si="84"/>
        <v>4.5232840709961666</v>
      </c>
      <c r="AC172" s="18">
        <f t="shared" ca="1" si="85"/>
        <v>1809.3136283984666</v>
      </c>
      <c r="AD172" s="18">
        <f t="shared" ca="1" si="86"/>
        <v>120</v>
      </c>
      <c r="AE172" s="18">
        <f t="shared" si="76"/>
        <v>120</v>
      </c>
      <c r="AF172" s="18">
        <f t="shared" ca="1" si="87"/>
        <v>45</v>
      </c>
      <c r="AG172" s="18">
        <f t="shared" ca="1" si="67"/>
        <v>2094.3136283984668</v>
      </c>
    </row>
    <row r="173" spans="13:33" x14ac:dyDescent="0.3">
      <c r="M173" s="49">
        <v>172</v>
      </c>
      <c r="N173" s="50">
        <f t="shared" ca="1" si="68"/>
        <v>34</v>
      </c>
      <c r="O173" s="50">
        <f t="shared" ca="1" si="69"/>
        <v>5</v>
      </c>
      <c r="P173" s="50">
        <f t="shared" ca="1" si="78"/>
        <v>201.5477831948275</v>
      </c>
      <c r="Q173" s="50">
        <f t="shared" ca="1" si="70"/>
        <v>206.5477831948275</v>
      </c>
      <c r="R173" s="50">
        <f t="shared" ca="1" si="71"/>
        <v>22</v>
      </c>
      <c r="S173" s="50">
        <f t="shared" ca="1" si="80"/>
        <v>4</v>
      </c>
      <c r="T173" s="50">
        <f t="shared" ca="1" si="81"/>
        <v>202.5477831948275</v>
      </c>
      <c r="U173" s="27">
        <f t="shared" ca="1" si="82"/>
        <v>0.68849261064942502</v>
      </c>
      <c r="V173" s="50">
        <f t="shared" ca="1" si="79"/>
        <v>3</v>
      </c>
      <c r="W173" s="50" t="str">
        <f t="shared" ca="1" si="83"/>
        <v>-</v>
      </c>
      <c r="X173" s="50">
        <f t="shared" ca="1" si="72"/>
        <v>74</v>
      </c>
      <c r="Y173" s="50">
        <f t="shared" ca="1" si="73"/>
        <v>2</v>
      </c>
      <c r="Z173" s="18">
        <f t="shared" ca="1" si="74"/>
        <v>800</v>
      </c>
      <c r="AA173" s="50">
        <f t="shared" ca="1" si="75"/>
        <v>65</v>
      </c>
      <c r="AB173" s="50" t="str">
        <f t="shared" ca="1" si="84"/>
        <v>-</v>
      </c>
      <c r="AC173" s="18" t="str">
        <f t="shared" ca="1" si="85"/>
        <v>0</v>
      </c>
      <c r="AD173" s="18">
        <f t="shared" ca="1" si="86"/>
        <v>240</v>
      </c>
      <c r="AE173" s="18">
        <f t="shared" si="76"/>
        <v>120</v>
      </c>
      <c r="AF173" s="18">
        <f t="shared" ca="1" si="87"/>
        <v>45</v>
      </c>
      <c r="AG173" s="18">
        <f t="shared" ca="1" si="67"/>
        <v>405</v>
      </c>
    </row>
    <row r="174" spans="13:33" x14ac:dyDescent="0.3">
      <c r="M174" s="49">
        <v>173</v>
      </c>
      <c r="N174" s="50">
        <f t="shared" ca="1" si="68"/>
        <v>86</v>
      </c>
      <c r="O174" s="50">
        <f t="shared" ca="1" si="69"/>
        <v>12</v>
      </c>
      <c r="P174" s="50">
        <f t="shared" ca="1" si="78"/>
        <v>202.5477831948275</v>
      </c>
      <c r="Q174" s="50">
        <f t="shared" ca="1" si="70"/>
        <v>214.5477831948275</v>
      </c>
      <c r="R174" s="50">
        <f t="shared" ca="1" si="71"/>
        <v>35</v>
      </c>
      <c r="S174" s="50">
        <f t="shared" ca="1" si="80"/>
        <v>4</v>
      </c>
      <c r="T174" s="50">
        <f t="shared" ca="1" si="81"/>
        <v>210.5477831948275</v>
      </c>
      <c r="U174" s="27">
        <f t="shared" ca="1" si="82"/>
        <v>0.71515927731609163</v>
      </c>
      <c r="V174" s="50">
        <f t="shared" ca="1" si="79"/>
        <v>3</v>
      </c>
      <c r="W174" s="50" t="str">
        <f t="shared" ca="1" si="83"/>
        <v>-</v>
      </c>
      <c r="X174" s="50">
        <f t="shared" ca="1" si="72"/>
        <v>92</v>
      </c>
      <c r="Y174" s="50">
        <f t="shared" ca="1" si="73"/>
        <v>2</v>
      </c>
      <c r="Z174" s="18">
        <f t="shared" ca="1" si="74"/>
        <v>800</v>
      </c>
      <c r="AA174" s="50">
        <f t="shared" ca="1" si="75"/>
        <v>18</v>
      </c>
      <c r="AB174" s="50" t="str">
        <f t="shared" ca="1" si="84"/>
        <v>-</v>
      </c>
      <c r="AC174" s="18" t="str">
        <f t="shared" ca="1" si="85"/>
        <v>0</v>
      </c>
      <c r="AD174" s="18">
        <f t="shared" ca="1" si="86"/>
        <v>240</v>
      </c>
      <c r="AE174" s="18">
        <f t="shared" si="76"/>
        <v>120</v>
      </c>
      <c r="AF174" s="18">
        <f t="shared" ca="1" si="87"/>
        <v>45</v>
      </c>
      <c r="AG174" s="18">
        <f t="shared" ca="1" si="67"/>
        <v>405</v>
      </c>
    </row>
    <row r="175" spans="13:33" x14ac:dyDescent="0.3">
      <c r="M175" s="49">
        <v>174</v>
      </c>
      <c r="N175" s="50">
        <f t="shared" ca="1" si="68"/>
        <v>99</v>
      </c>
      <c r="O175" s="50">
        <f t="shared" ca="1" si="69"/>
        <v>20</v>
      </c>
      <c r="P175" s="50">
        <f t="shared" ca="1" si="78"/>
        <v>210.5477831948275</v>
      </c>
      <c r="Q175" s="50">
        <f t="shared" ca="1" si="70"/>
        <v>230.5477831948275</v>
      </c>
      <c r="R175" s="50">
        <f t="shared" ca="1" si="71"/>
        <v>59</v>
      </c>
      <c r="S175" s="50">
        <f t="shared" ca="1" si="80"/>
        <v>6</v>
      </c>
      <c r="T175" s="50">
        <f t="shared" ca="1" si="81"/>
        <v>201.49300487534475</v>
      </c>
      <c r="U175" s="27">
        <f t="shared" ca="1" si="82"/>
        <v>0.76849261064942498</v>
      </c>
      <c r="V175" s="50">
        <f t="shared" ca="1" si="79"/>
        <v>3</v>
      </c>
      <c r="W175" s="50">
        <f t="shared" ca="1" si="83"/>
        <v>23.05477831948275</v>
      </c>
      <c r="X175" s="50">
        <f t="shared" ca="1" si="72"/>
        <v>97</v>
      </c>
      <c r="Y175" s="50">
        <f t="shared" ca="1" si="73"/>
        <v>4</v>
      </c>
      <c r="Z175" s="18">
        <f t="shared" ca="1" si="74"/>
        <v>1600</v>
      </c>
      <c r="AA175" s="50">
        <f t="shared" ca="1" si="75"/>
        <v>62</v>
      </c>
      <c r="AB175" s="50">
        <f t="shared" ca="1" si="84"/>
        <v>9.2219113277930997</v>
      </c>
      <c r="AC175" s="18">
        <f t="shared" ca="1" si="85"/>
        <v>3688.76453111724</v>
      </c>
      <c r="AD175" s="18">
        <f t="shared" ca="1" si="86"/>
        <v>480</v>
      </c>
      <c r="AE175" s="18">
        <f t="shared" si="76"/>
        <v>120</v>
      </c>
      <c r="AF175" s="18">
        <f t="shared" ca="1" si="87"/>
        <v>45</v>
      </c>
      <c r="AG175" s="18">
        <f t="shared" ca="1" si="67"/>
        <v>4333.76453111724</v>
      </c>
    </row>
    <row r="176" spans="13:33" x14ac:dyDescent="0.3">
      <c r="M176" s="49">
        <v>175</v>
      </c>
      <c r="N176" s="50">
        <f t="shared" ca="1" si="68"/>
        <v>9</v>
      </c>
      <c r="O176" s="50">
        <f t="shared" ca="1" si="69"/>
        <v>5</v>
      </c>
      <c r="P176" s="50">
        <f t="shared" ca="1" si="78"/>
        <v>201.49300487534475</v>
      </c>
      <c r="Q176" s="50">
        <f t="shared" ca="1" si="70"/>
        <v>206.49300487534475</v>
      </c>
      <c r="R176" s="50">
        <f t="shared" ca="1" si="71"/>
        <v>54</v>
      </c>
      <c r="S176" s="50">
        <f t="shared" ca="1" si="80"/>
        <v>6</v>
      </c>
      <c r="T176" s="50">
        <f t="shared" ca="1" si="81"/>
        <v>200.49300487534475</v>
      </c>
      <c r="U176" s="27">
        <f t="shared" ca="1" si="82"/>
        <v>0.68831001625114918</v>
      </c>
      <c r="V176" s="50">
        <f t="shared" ca="1" si="79"/>
        <v>3</v>
      </c>
      <c r="W176" s="50" t="str">
        <f t="shared" ca="1" si="83"/>
        <v>-</v>
      </c>
      <c r="X176" s="50">
        <f t="shared" ca="1" si="72"/>
        <v>46</v>
      </c>
      <c r="Y176" s="50">
        <f t="shared" ca="1" si="73"/>
        <v>1</v>
      </c>
      <c r="Z176" s="18">
        <f t="shared" ca="1" si="74"/>
        <v>400</v>
      </c>
      <c r="AA176" s="50">
        <f t="shared" ca="1" si="75"/>
        <v>89</v>
      </c>
      <c r="AB176" s="50" t="str">
        <f t="shared" ca="1" si="84"/>
        <v>-</v>
      </c>
      <c r="AC176" s="18" t="str">
        <f t="shared" ca="1" si="85"/>
        <v>0</v>
      </c>
      <c r="AD176" s="18">
        <f t="shared" ca="1" si="86"/>
        <v>120</v>
      </c>
      <c r="AE176" s="18">
        <f t="shared" si="76"/>
        <v>120</v>
      </c>
      <c r="AF176" s="18">
        <f t="shared" ca="1" si="87"/>
        <v>45</v>
      </c>
      <c r="AG176" s="18">
        <f t="shared" ca="1" si="67"/>
        <v>285</v>
      </c>
    </row>
    <row r="177" spans="13:33" x14ac:dyDescent="0.3">
      <c r="M177" s="49">
        <v>176</v>
      </c>
      <c r="N177" s="50">
        <f t="shared" ca="1" si="68"/>
        <v>96</v>
      </c>
      <c r="O177" s="50">
        <f t="shared" ca="1" si="69"/>
        <v>18</v>
      </c>
      <c r="P177" s="50">
        <f t="shared" ca="1" si="78"/>
        <v>200.49300487534475</v>
      </c>
      <c r="Q177" s="50">
        <f t="shared" ca="1" si="70"/>
        <v>218.49300487534475</v>
      </c>
      <c r="R177" s="50">
        <f t="shared" ca="1" si="71"/>
        <v>57</v>
      </c>
      <c r="S177" s="50">
        <f t="shared" ca="1" si="80"/>
        <v>6</v>
      </c>
      <c r="T177" s="50">
        <f t="shared" ca="1" si="81"/>
        <v>212.49300487534475</v>
      </c>
      <c r="U177" s="27">
        <f t="shared" ca="1" si="82"/>
        <v>0.72831001625114922</v>
      </c>
      <c r="V177" s="50">
        <f t="shared" ca="1" si="79"/>
        <v>3</v>
      </c>
      <c r="W177" s="50" t="str">
        <f t="shared" ca="1" si="83"/>
        <v>-</v>
      </c>
      <c r="X177" s="50">
        <f t="shared" ca="1" si="72"/>
        <v>96</v>
      </c>
      <c r="Y177" s="50">
        <f t="shared" ca="1" si="73"/>
        <v>4</v>
      </c>
      <c r="Z177" s="18">
        <f t="shared" ca="1" si="74"/>
        <v>1600</v>
      </c>
      <c r="AA177" s="50">
        <f t="shared" ca="1" si="75"/>
        <v>15</v>
      </c>
      <c r="AB177" s="50" t="str">
        <f t="shared" ca="1" si="84"/>
        <v>-</v>
      </c>
      <c r="AC177" s="18" t="str">
        <f t="shared" ca="1" si="85"/>
        <v>0</v>
      </c>
      <c r="AD177" s="18">
        <f t="shared" ca="1" si="86"/>
        <v>480</v>
      </c>
      <c r="AE177" s="18">
        <f t="shared" si="76"/>
        <v>120</v>
      </c>
      <c r="AF177" s="18">
        <f t="shared" ca="1" si="87"/>
        <v>45</v>
      </c>
      <c r="AG177" s="18">
        <f t="shared" ca="1" si="67"/>
        <v>645</v>
      </c>
    </row>
    <row r="178" spans="13:33" x14ac:dyDescent="0.3">
      <c r="M178" s="49">
        <v>177</v>
      </c>
      <c r="N178" s="50">
        <f t="shared" ca="1" si="68"/>
        <v>59</v>
      </c>
      <c r="O178" s="50">
        <f t="shared" ca="1" si="69"/>
        <v>8</v>
      </c>
      <c r="P178" s="50">
        <f t="shared" ca="1" si="78"/>
        <v>212.49300487534475</v>
      </c>
      <c r="Q178" s="50">
        <f t="shared" ca="1" si="70"/>
        <v>220.49300487534475</v>
      </c>
      <c r="R178" s="50">
        <f t="shared" ca="1" si="71"/>
        <v>18</v>
      </c>
      <c r="S178" s="50">
        <f t="shared" ca="1" si="80"/>
        <v>4</v>
      </c>
      <c r="T178" s="50">
        <f t="shared" ca="1" si="81"/>
        <v>216.49300487534475</v>
      </c>
      <c r="U178" s="27">
        <f t="shared" ca="1" si="82"/>
        <v>0.73497668291781582</v>
      </c>
      <c r="V178" s="50">
        <f t="shared" ca="1" si="79"/>
        <v>3</v>
      </c>
      <c r="W178" s="50" t="str">
        <f t="shared" ca="1" si="83"/>
        <v>-</v>
      </c>
      <c r="X178" s="50">
        <f t="shared" ca="1" si="72"/>
        <v>21</v>
      </c>
      <c r="Y178" s="50">
        <f t="shared" ca="1" si="73"/>
        <v>1</v>
      </c>
      <c r="Z178" s="18">
        <f t="shared" ca="1" si="74"/>
        <v>400</v>
      </c>
      <c r="AA178" s="50">
        <f t="shared" ca="1" si="75"/>
        <v>28</v>
      </c>
      <c r="AB178" s="50" t="str">
        <f t="shared" ca="1" si="84"/>
        <v>-</v>
      </c>
      <c r="AC178" s="18" t="str">
        <f t="shared" ca="1" si="85"/>
        <v>0</v>
      </c>
      <c r="AD178" s="18">
        <f t="shared" ca="1" si="86"/>
        <v>120</v>
      </c>
      <c r="AE178" s="18">
        <f t="shared" si="76"/>
        <v>120</v>
      </c>
      <c r="AF178" s="18">
        <f t="shared" ca="1" si="87"/>
        <v>45</v>
      </c>
      <c r="AG178" s="18">
        <f t="shared" ca="1" si="67"/>
        <v>285</v>
      </c>
    </row>
    <row r="179" spans="13:33" x14ac:dyDescent="0.3">
      <c r="M179" s="49">
        <v>178</v>
      </c>
      <c r="N179" s="50">
        <f t="shared" ca="1" si="68"/>
        <v>1</v>
      </c>
      <c r="O179" s="50">
        <f t="shared" ca="1" si="69"/>
        <v>5</v>
      </c>
      <c r="P179" s="50">
        <f t="shared" ca="1" si="78"/>
        <v>216.49300487534475</v>
      </c>
      <c r="Q179" s="50">
        <f t="shared" ca="1" si="70"/>
        <v>221.49300487534475</v>
      </c>
      <c r="R179" s="50">
        <f t="shared" ca="1" si="71"/>
        <v>70</v>
      </c>
      <c r="S179" s="50">
        <f t="shared" ca="1" si="80"/>
        <v>6</v>
      </c>
      <c r="T179" s="50">
        <f t="shared" ca="1" si="81"/>
        <v>215.49300487534475</v>
      </c>
      <c r="U179" s="27">
        <f t="shared" ca="1" si="82"/>
        <v>0.73831001625114923</v>
      </c>
      <c r="V179" s="50">
        <f t="shared" ca="1" si="79"/>
        <v>3</v>
      </c>
      <c r="W179" s="50" t="str">
        <f t="shared" ca="1" si="83"/>
        <v>-</v>
      </c>
      <c r="X179" s="50">
        <f t="shared" ca="1" si="72"/>
        <v>20</v>
      </c>
      <c r="Y179" s="50">
        <f t="shared" ca="1" si="73"/>
        <v>1</v>
      </c>
      <c r="Z179" s="18">
        <f t="shared" ca="1" si="74"/>
        <v>400</v>
      </c>
      <c r="AA179" s="50">
        <f t="shared" ca="1" si="75"/>
        <v>61</v>
      </c>
      <c r="AB179" s="50" t="str">
        <f t="shared" ca="1" si="84"/>
        <v>-</v>
      </c>
      <c r="AC179" s="18" t="str">
        <f t="shared" ca="1" si="85"/>
        <v>0</v>
      </c>
      <c r="AD179" s="18">
        <f t="shared" ca="1" si="86"/>
        <v>120</v>
      </c>
      <c r="AE179" s="18">
        <f t="shared" si="76"/>
        <v>120</v>
      </c>
      <c r="AF179" s="18">
        <f t="shared" ca="1" si="87"/>
        <v>45</v>
      </c>
      <c r="AG179" s="18">
        <f t="shared" ca="1" si="67"/>
        <v>285</v>
      </c>
    </row>
    <row r="180" spans="13:33" x14ac:dyDescent="0.3">
      <c r="M180" s="49">
        <v>179</v>
      </c>
      <c r="N180" s="50">
        <f t="shared" ca="1" si="68"/>
        <v>92</v>
      </c>
      <c r="O180" s="50">
        <f t="shared" ca="1" si="69"/>
        <v>15</v>
      </c>
      <c r="P180" s="50">
        <f t="shared" ca="1" si="78"/>
        <v>215.49300487534475</v>
      </c>
      <c r="Q180" s="50">
        <f t="shared" ca="1" si="70"/>
        <v>230.49300487534475</v>
      </c>
      <c r="R180" s="50">
        <f t="shared" ca="1" si="71"/>
        <v>10</v>
      </c>
      <c r="S180" s="50">
        <f t="shared" ca="1" si="80"/>
        <v>2</v>
      </c>
      <c r="T180" s="50">
        <f t="shared" ca="1" si="81"/>
        <v>205.44370438781027</v>
      </c>
      <c r="U180" s="27">
        <f t="shared" ca="1" si="82"/>
        <v>0.76831001625114914</v>
      </c>
      <c r="V180" s="50">
        <f t="shared" ca="1" si="79"/>
        <v>3</v>
      </c>
      <c r="W180" s="50">
        <f t="shared" ca="1" si="83"/>
        <v>23.049300487534477</v>
      </c>
      <c r="X180" s="50">
        <f t="shared" ca="1" si="72"/>
        <v>76</v>
      </c>
      <c r="Y180" s="50">
        <f t="shared" ca="1" si="73"/>
        <v>1</v>
      </c>
      <c r="Z180" s="18">
        <f t="shared" ca="1" si="74"/>
        <v>400</v>
      </c>
      <c r="AA180" s="50">
        <f t="shared" ca="1" si="75"/>
        <v>71</v>
      </c>
      <c r="AB180" s="50">
        <f t="shared" ca="1" si="84"/>
        <v>9.2197201950137906</v>
      </c>
      <c r="AC180" s="18">
        <f t="shared" ca="1" si="85"/>
        <v>3687.888078005516</v>
      </c>
      <c r="AD180" s="18">
        <f t="shared" ca="1" si="86"/>
        <v>120</v>
      </c>
      <c r="AE180" s="18">
        <f t="shared" si="76"/>
        <v>120</v>
      </c>
      <c r="AF180" s="18">
        <f t="shared" ca="1" si="87"/>
        <v>45</v>
      </c>
      <c r="AG180" s="18">
        <f t="shared" ca="1" si="67"/>
        <v>3972.888078005516</v>
      </c>
    </row>
    <row r="181" spans="13:33" x14ac:dyDescent="0.3">
      <c r="M181" s="49">
        <v>180</v>
      </c>
      <c r="N181" s="51">
        <f t="shared" ca="1" si="68"/>
        <v>45</v>
      </c>
      <c r="O181" s="51">
        <f t="shared" ca="1" si="69"/>
        <v>5</v>
      </c>
      <c r="P181" s="51">
        <f t="shared" ca="1" si="78"/>
        <v>205.44370438781027</v>
      </c>
      <c r="Q181" s="51">
        <f t="shared" ca="1" si="70"/>
        <v>210.44370438781027</v>
      </c>
      <c r="R181" s="51">
        <f t="shared" ca="1" si="71"/>
        <v>93</v>
      </c>
      <c r="S181" s="50">
        <f t="shared" ca="1" si="80"/>
        <v>8</v>
      </c>
      <c r="T181" s="51">
        <f t="shared" ca="1" si="81"/>
        <v>202.44370438781027</v>
      </c>
      <c r="U181" s="27">
        <f t="shared" ca="1" si="82"/>
        <v>0.70147901462603424</v>
      </c>
      <c r="V181" s="50">
        <f t="shared" ca="1" si="79"/>
        <v>3</v>
      </c>
      <c r="W181" s="50" t="str">
        <f t="shared" ca="1" si="83"/>
        <v>-</v>
      </c>
      <c r="X181" s="51">
        <f t="shared" ca="1" si="72"/>
        <v>24</v>
      </c>
      <c r="Y181" s="51">
        <f t="shared" ca="1" si="73"/>
        <v>2</v>
      </c>
      <c r="Z181" s="18">
        <f t="shared" ca="1" si="74"/>
        <v>800</v>
      </c>
      <c r="AA181" s="51">
        <f t="shared" ca="1" si="75"/>
        <v>74</v>
      </c>
      <c r="AB181" s="51" t="str">
        <f t="shared" ca="1" si="84"/>
        <v>-</v>
      </c>
      <c r="AC181" s="34" t="str">
        <f t="shared" ca="1" si="85"/>
        <v>0</v>
      </c>
      <c r="AD181" s="34">
        <f t="shared" ca="1" si="86"/>
        <v>240</v>
      </c>
      <c r="AE181" s="34">
        <f t="shared" si="76"/>
        <v>120</v>
      </c>
      <c r="AF181" s="18">
        <f t="shared" ca="1" si="87"/>
        <v>45</v>
      </c>
      <c r="AG181" s="18">
        <f t="shared" ca="1" si="67"/>
        <v>405</v>
      </c>
    </row>
    <row r="182" spans="13:33" ht="18" x14ac:dyDescent="0.3">
      <c r="S182" s="40"/>
      <c r="T182" s="40"/>
      <c r="U182" s="56"/>
      <c r="V182" s="40"/>
      <c r="W182" s="40"/>
      <c r="X182" s="40"/>
      <c r="Z182" s="35">
        <f ca="1">SUM(Z2:Z181)</f>
        <v>130400</v>
      </c>
      <c r="AC182" s="36">
        <f ca="1">SUM(AC2:AC181)</f>
        <v>46722.693825787341</v>
      </c>
      <c r="AD182" s="36">
        <f ca="1">SUM(AD2:AD181)</f>
        <v>39120</v>
      </c>
      <c r="AE182" s="36">
        <f>SUM(AE2:AE181)</f>
        <v>21600</v>
      </c>
      <c r="AF182" s="36">
        <f ca="1">SUM(AF2:AF181)</f>
        <v>6900</v>
      </c>
      <c r="AG182" s="36">
        <f ca="1">SUM(AG2:AG181)</f>
        <v>114342.69382578734</v>
      </c>
    </row>
    <row r="183" spans="13:33" ht="18" x14ac:dyDescent="0.3">
      <c r="Z183" s="35" t="s">
        <v>48</v>
      </c>
      <c r="AC183" s="37" t="s">
        <v>33</v>
      </c>
      <c r="AD183" s="38" t="s">
        <v>32</v>
      </c>
      <c r="AE183" s="38" t="s">
        <v>49</v>
      </c>
      <c r="AF183" s="38" t="s">
        <v>40</v>
      </c>
      <c r="AG183" s="39" t="s">
        <v>3</v>
      </c>
    </row>
    <row r="184" spans="13:33" ht="18" x14ac:dyDescent="0.3">
      <c r="Z184" s="40"/>
      <c r="AG184" s="35">
        <f ca="1">Z182-AG182</f>
        <v>16057.306174212659</v>
      </c>
    </row>
    <row r="185" spans="13:33" ht="18" x14ac:dyDescent="0.3">
      <c r="AG185" s="41" t="s">
        <v>4</v>
      </c>
    </row>
    <row r="188" spans="13:33" ht="63.6" customHeight="1" x14ac:dyDescent="0.3">
      <c r="U188" s="57"/>
      <c r="V188" s="57"/>
      <c r="W188" s="57"/>
      <c r="X188" s="57"/>
      <c r="Y188" s="72" t="s">
        <v>61</v>
      </c>
      <c r="Z188" s="72"/>
      <c r="AA188" s="72"/>
      <c r="AB188" s="57"/>
      <c r="AC188" s="57"/>
      <c r="AD188" s="58"/>
    </row>
    <row r="189" spans="13:33" ht="30.6" customHeight="1" x14ac:dyDescent="0.3">
      <c r="U189" s="57"/>
      <c r="AD189" s="58"/>
    </row>
    <row r="190" spans="13:33" x14ac:dyDescent="0.3">
      <c r="U190" s="57"/>
      <c r="AD190" s="58"/>
    </row>
    <row r="191" spans="13:33" x14ac:dyDescent="0.3">
      <c r="U191" s="57"/>
      <c r="AD191" s="58"/>
    </row>
    <row r="192" spans="13:33" ht="21" x14ac:dyDescent="0.3">
      <c r="U192" s="57"/>
      <c r="X192" s="73" t="s">
        <v>35</v>
      </c>
      <c r="Y192" s="73"/>
      <c r="Z192" s="73"/>
      <c r="AA192" s="73"/>
      <c r="AB192" s="73"/>
      <c r="AC192" s="73"/>
      <c r="AD192" s="58"/>
    </row>
    <row r="193" spans="21:30" ht="18" x14ac:dyDescent="0.3">
      <c r="U193" s="57"/>
      <c r="V193" s="42"/>
      <c r="W193" s="43">
        <f ca="1">AG184</f>
        <v>16057.306174212659</v>
      </c>
      <c r="X193" s="54">
        <v>0.5</v>
      </c>
      <c r="Y193" s="54">
        <v>0.6</v>
      </c>
      <c r="Z193" s="55">
        <v>0.7</v>
      </c>
      <c r="AA193" s="54">
        <v>0.8</v>
      </c>
      <c r="AB193" s="54">
        <v>0.9</v>
      </c>
      <c r="AC193" s="44">
        <v>1</v>
      </c>
      <c r="AD193" s="58"/>
    </row>
    <row r="194" spans="21:30" x14ac:dyDescent="0.3">
      <c r="U194" s="57"/>
      <c r="V194" s="70" t="s">
        <v>9</v>
      </c>
      <c r="W194" s="53">
        <v>1</v>
      </c>
      <c r="X194" s="18">
        <f t="dataTable" ref="X194:AC198" dt2D="1" dtr="1" r1="J4" r2="J3" ca="1"/>
        <v>44190</v>
      </c>
      <c r="Y194" s="18">
        <v>43735</v>
      </c>
      <c r="Z194" s="18">
        <v>47569</v>
      </c>
      <c r="AA194" s="18">
        <v>20073.289271717862</v>
      </c>
      <c r="AB194" s="18">
        <v>14568.251463244291</v>
      </c>
      <c r="AC194" s="18">
        <v>25527.576388073998</v>
      </c>
      <c r="AD194" s="58"/>
    </row>
    <row r="195" spans="21:30" x14ac:dyDescent="0.3">
      <c r="U195" s="57"/>
      <c r="V195" s="70"/>
      <c r="W195" s="53">
        <v>2</v>
      </c>
      <c r="X195" s="18">
        <v>51530</v>
      </c>
      <c r="Y195" s="18">
        <v>51305</v>
      </c>
      <c r="Z195" s="18">
        <v>61745</v>
      </c>
      <c r="AA195" s="18">
        <v>8396.0366846585675</v>
      </c>
      <c r="AB195" s="18">
        <v>12882.256460055432</v>
      </c>
      <c r="AC195" s="18">
        <v>25313.339661258738</v>
      </c>
      <c r="AD195" s="58"/>
    </row>
    <row r="196" spans="21:30" x14ac:dyDescent="0.3">
      <c r="U196" s="57"/>
      <c r="V196" s="70"/>
      <c r="W196" s="53">
        <v>3</v>
      </c>
      <c r="X196" s="18">
        <v>41515</v>
      </c>
      <c r="Y196" s="18">
        <v>42195</v>
      </c>
      <c r="Z196" s="18">
        <v>55125</v>
      </c>
      <c r="AA196" s="18">
        <v>-470.0899875559553</v>
      </c>
      <c r="AB196" s="18">
        <v>824.73544552798558</v>
      </c>
      <c r="AC196" s="18">
        <v>8768.8816744403448</v>
      </c>
      <c r="AD196" s="58"/>
    </row>
    <row r="197" spans="21:30" x14ac:dyDescent="0.3">
      <c r="U197" s="57"/>
      <c r="V197" s="70"/>
      <c r="W197" s="53">
        <v>4</v>
      </c>
      <c r="X197" s="18">
        <v>42030</v>
      </c>
      <c r="Y197" s="18">
        <v>55925</v>
      </c>
      <c r="Z197" s="18">
        <v>52170</v>
      </c>
      <c r="AA197" s="18">
        <v>22022.932384315063</v>
      </c>
      <c r="AB197" s="18">
        <v>-7945.1912960303598</v>
      </c>
      <c r="AC197" s="18">
        <v>2670.000333488686</v>
      </c>
      <c r="AD197" s="58"/>
    </row>
    <row r="198" spans="21:30" x14ac:dyDescent="0.3">
      <c r="U198" s="57"/>
      <c r="V198" s="70"/>
      <c r="W198" s="53">
        <v>5</v>
      </c>
      <c r="X198" s="18">
        <v>52095</v>
      </c>
      <c r="Y198" s="18">
        <v>52210</v>
      </c>
      <c r="Z198" s="18">
        <v>54927</v>
      </c>
      <c r="AA198" s="18">
        <v>12416.988247705754</v>
      </c>
      <c r="AB198" s="18">
        <v>-743.84826493250148</v>
      </c>
      <c r="AC198" s="18">
        <v>19679.872356177293</v>
      </c>
      <c r="AD198" s="58"/>
    </row>
    <row r="199" spans="21:30" x14ac:dyDescent="0.3">
      <c r="U199" s="57"/>
      <c r="AD199" s="58"/>
    </row>
    <row r="200" spans="21:30" x14ac:dyDescent="0.3">
      <c r="U200" s="57"/>
      <c r="AD200" s="58"/>
    </row>
    <row r="201" spans="21:30" x14ac:dyDescent="0.3">
      <c r="U201" s="57"/>
      <c r="AD201" s="58"/>
    </row>
    <row r="202" spans="21:30" x14ac:dyDescent="0.3">
      <c r="U202" s="57"/>
      <c r="AD202" s="58"/>
    </row>
    <row r="203" spans="21:30" x14ac:dyDescent="0.3">
      <c r="U203" s="57"/>
      <c r="AD203" s="58"/>
    </row>
    <row r="204" spans="21:30" ht="21" x14ac:dyDescent="0.3">
      <c r="U204" s="57"/>
      <c r="X204" s="73" t="s">
        <v>35</v>
      </c>
      <c r="Y204" s="73"/>
      <c r="Z204" s="73"/>
      <c r="AA204" s="73"/>
      <c r="AB204" s="73"/>
      <c r="AC204" s="73"/>
      <c r="AD204" s="58"/>
    </row>
    <row r="205" spans="21:30" ht="18" x14ac:dyDescent="0.3">
      <c r="U205" s="57"/>
      <c r="W205" s="43">
        <f ca="1">AG184</f>
        <v>16057.306174212659</v>
      </c>
      <c r="X205" s="54">
        <v>0.5</v>
      </c>
      <c r="Y205" s="54">
        <v>0.6</v>
      </c>
      <c r="Z205" s="54">
        <v>0.7</v>
      </c>
      <c r="AA205" s="54">
        <v>0.8</v>
      </c>
      <c r="AB205" s="54">
        <v>0.9</v>
      </c>
      <c r="AC205" s="44">
        <v>1</v>
      </c>
      <c r="AD205" s="58"/>
    </row>
    <row r="206" spans="21:30" x14ac:dyDescent="0.3">
      <c r="U206" s="57"/>
      <c r="V206" s="70" t="s">
        <v>56</v>
      </c>
      <c r="W206" s="54">
        <v>0.5</v>
      </c>
      <c r="X206" s="18">
        <f t="dataTable" ref="X206:AC211" dt2D="1" dtr="1" r1="J4" r2="J7" ca="1"/>
        <v>13943.141277808332</v>
      </c>
      <c r="Y206" s="18">
        <v>116.72150016552769</v>
      </c>
      <c r="Z206" s="18">
        <v>-5347.1677315314882</v>
      </c>
      <c r="AA206" s="18">
        <v>6296.9390256107727</v>
      </c>
      <c r="AB206" s="18">
        <v>-939.09871921359445</v>
      </c>
      <c r="AC206" s="18">
        <v>17757.025428773268</v>
      </c>
      <c r="AD206" s="58"/>
    </row>
    <row r="207" spans="21:30" ht="14.4" customHeight="1" x14ac:dyDescent="0.3">
      <c r="U207" s="57"/>
      <c r="V207" s="70"/>
      <c r="W207" s="54">
        <v>0.6</v>
      </c>
      <c r="X207" s="18">
        <v>47200.2</v>
      </c>
      <c r="Y207" s="18">
        <v>40771.492400000003</v>
      </c>
      <c r="Z207" s="18">
        <v>16066.55390660213</v>
      </c>
      <c r="AA207" s="18">
        <v>2046.0355355068314</v>
      </c>
      <c r="AB207" s="18">
        <v>2187.7664429471188</v>
      </c>
      <c r="AC207" s="18">
        <v>2354.0157129609579</v>
      </c>
      <c r="AD207" s="58"/>
    </row>
    <row r="208" spans="21:30" ht="14.4" customHeight="1" x14ac:dyDescent="0.3">
      <c r="U208" s="57"/>
      <c r="V208" s="70"/>
      <c r="W208" s="54">
        <v>0.7</v>
      </c>
      <c r="X208" s="18">
        <v>52155</v>
      </c>
      <c r="Y208" s="18">
        <v>47750</v>
      </c>
      <c r="Z208" s="18">
        <v>37205.165999999997</v>
      </c>
      <c r="AA208" s="18">
        <v>2841.3822321115731</v>
      </c>
      <c r="AB208" s="18">
        <v>-3410.1104184434225</v>
      </c>
      <c r="AC208" s="18">
        <v>1380.3020128259523</v>
      </c>
      <c r="AD208" s="58"/>
    </row>
    <row r="209" spans="21:33" ht="14.4" customHeight="1" x14ac:dyDescent="0.3">
      <c r="U209" s="57"/>
      <c r="V209" s="70"/>
      <c r="W209" s="54">
        <v>0.8</v>
      </c>
      <c r="X209" s="18">
        <v>43845</v>
      </c>
      <c r="Y209" s="18">
        <v>44645</v>
      </c>
      <c r="Z209" s="18">
        <v>53205</v>
      </c>
      <c r="AA209" s="18">
        <v>46974.815999999992</v>
      </c>
      <c r="AB209" s="18">
        <v>12491.64150024335</v>
      </c>
      <c r="AC209" s="18">
        <v>10843.094484311296</v>
      </c>
      <c r="AD209" s="58"/>
    </row>
    <row r="210" spans="21:33" ht="14.4" customHeight="1" x14ac:dyDescent="0.3">
      <c r="U210" s="57"/>
      <c r="V210" s="70"/>
      <c r="W210" s="54">
        <v>0.9</v>
      </c>
      <c r="X210" s="18">
        <v>52730</v>
      </c>
      <c r="Y210" s="18">
        <v>49490</v>
      </c>
      <c r="Z210" s="18">
        <v>42405</v>
      </c>
      <c r="AA210" s="18">
        <v>50287</v>
      </c>
      <c r="AB210" s="18">
        <v>48376.12000000001</v>
      </c>
      <c r="AC210" s="18">
        <v>2999.360089759517</v>
      </c>
      <c r="AD210" s="58"/>
    </row>
    <row r="211" spans="21:33" ht="14.4" customHeight="1" x14ac:dyDescent="0.3">
      <c r="U211" s="57"/>
      <c r="V211" s="70"/>
      <c r="W211" s="54">
        <v>1</v>
      </c>
      <c r="X211" s="18">
        <v>49830</v>
      </c>
      <c r="Y211" s="18">
        <v>56600</v>
      </c>
      <c r="Z211" s="18">
        <v>52310</v>
      </c>
      <c r="AA211" s="18">
        <v>57080</v>
      </c>
      <c r="AB211" s="18">
        <v>55025</v>
      </c>
      <c r="AC211" s="18">
        <v>40824.656000000003</v>
      </c>
      <c r="AD211" s="58"/>
    </row>
    <row r="212" spans="21:33" ht="23.4" customHeight="1" x14ac:dyDescent="0.3">
      <c r="U212" s="57"/>
      <c r="AD212" s="58"/>
      <c r="AE212" s="62" t="s">
        <v>62</v>
      </c>
      <c r="AF212" s="63"/>
      <c r="AG212" s="64"/>
    </row>
    <row r="213" spans="21:33" ht="28.8" customHeight="1" x14ac:dyDescent="0.3">
      <c r="U213" s="57"/>
      <c r="AD213" s="58"/>
      <c r="AE213" s="65"/>
      <c r="AF213" s="66"/>
      <c r="AG213" s="67"/>
    </row>
    <row r="214" spans="21:33" ht="63.6" customHeight="1" x14ac:dyDescent="0.3">
      <c r="U214" s="57"/>
      <c r="V214" s="57"/>
      <c r="W214" s="57"/>
      <c r="X214" s="57"/>
      <c r="Y214" s="57"/>
      <c r="Z214" s="57"/>
      <c r="AA214" s="57"/>
      <c r="AB214" s="57"/>
      <c r="AC214" s="57"/>
      <c r="AD214" s="58"/>
      <c r="AE214" s="59" t="s">
        <v>63</v>
      </c>
      <c r="AF214" s="60"/>
      <c r="AG214" s="61"/>
    </row>
  </sheetData>
  <mergeCells count="11">
    <mergeCell ref="AE214:AG214"/>
    <mergeCell ref="AE212:AG213"/>
    <mergeCell ref="A1:E1"/>
    <mergeCell ref="I1:J1"/>
    <mergeCell ref="V206:V211"/>
    <mergeCell ref="V194:V198"/>
    <mergeCell ref="A13:E13"/>
    <mergeCell ref="A22:E22"/>
    <mergeCell ref="Y188:AA188"/>
    <mergeCell ref="X192:AC192"/>
    <mergeCell ref="X204:AC204"/>
  </mergeCells>
  <conditionalFormatting sqref="U2:U181">
    <cfRule type="cellIs" dxfId="0" priority="5" operator="greaterThan">
      <formula>$J$7</formula>
    </cfRule>
  </conditionalFormatting>
  <conditionalFormatting sqref="X194:AC198">
    <cfRule type="colorScale" priority="4">
      <colorScale>
        <cfvo type="min"/>
        <cfvo type="percentile" val="50"/>
        <cfvo type="max"/>
        <color rgb="FFF8696B"/>
        <color rgb="FFFCFCFF"/>
        <color rgb="FF63BE7B"/>
      </colorScale>
    </cfRule>
  </conditionalFormatting>
  <conditionalFormatting sqref="X206:AC211">
    <cfRule type="colorScale" priority="1">
      <colorScale>
        <cfvo type="min"/>
        <cfvo type="percentile" val="50"/>
        <cfvo type="max"/>
        <color rgb="FFF8696B"/>
        <color rgb="FFFCFCFF"/>
        <color rgb="FF63BE7B"/>
      </colorScale>
    </cfRule>
  </conditionalFormatting>
  <pageMargins left="0.7" right="0.7" top="0.75" bottom="0.75" header="0.3" footer="0.3"/>
  <pageSetup paperSize="9" orientation="portrait" r:id="rId1"/>
  <ignoredErrors>
    <ignoredError sqref="AF2:AF181" calculatedColumn="1"/>
  </ignoredErrors>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Problem</vt:lpstr>
      <vt:lpstr>Solve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Deniz Yalçın</dc:creator>
  <cp:lastModifiedBy>Selin Sare Gümüş</cp:lastModifiedBy>
  <dcterms:created xsi:type="dcterms:W3CDTF">2024-12-17T14:22:45Z</dcterms:created>
  <dcterms:modified xsi:type="dcterms:W3CDTF">2026-02-28T09:22:59Z</dcterms:modified>
</cp:coreProperties>
</file>